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D:\document\CHIP\Mercury6\HDMITx\"/>
    </mc:Choice>
  </mc:AlternateContent>
  <bookViews>
    <workbookView xWindow="0" yWindow="0" windowWidth="20490" windowHeight="7710" tabRatio="914"/>
  </bookViews>
  <sheets>
    <sheet name="Main" sheetId="1" r:id="rId1"/>
    <sheet name="480_60P" sheetId="60" r:id="rId2"/>
    <sheet name="576_50P" sheetId="74" r:id="rId3"/>
    <sheet name="720_50P" sheetId="63" r:id="rId4"/>
    <sheet name="720_60P" sheetId="61" r:id="rId5"/>
    <sheet name="1080_24P" sheetId="75" r:id="rId6"/>
    <sheet name="1080_25P" sheetId="76" r:id="rId7"/>
    <sheet name="1080_30P" sheetId="62" r:id="rId8"/>
    <sheet name="1080_50P" sheetId="64" r:id="rId9"/>
    <sheet name="1080_60P" sheetId="51" r:id="rId10"/>
    <sheet name="2560x1440_30P" sheetId="73" r:id="rId11"/>
    <sheet name="3840x2160_30P" sheetId="72" r:id="rId12"/>
    <sheet name="1024x768_60P" sheetId="65" r:id="rId13"/>
    <sheet name="1280x1024_60P" sheetId="66" r:id="rId14"/>
    <sheet name="1366x768_60P" sheetId="67" r:id="rId15"/>
    <sheet name="1440x900_60P" sheetId="68" r:id="rId16"/>
    <sheet name="1280x800_60P" sheetId="69" r:id="rId17"/>
    <sheet name="1680x1050_60P" sheetId="70" r:id="rId18"/>
    <sheet name="1600x1200_60P" sheetId="71" r:id="rId19"/>
    <sheet name="EndOfSheet" sheetId="3" r:id="rId20"/>
    <sheet name="IP_Type" sheetId="5" r:id="rId21"/>
    <sheet name="TimingSupport" sheetId="42" r:id="rId22"/>
  </sheets>
  <functionGroups builtInGroupCount="18"/>
  <calcPr calcId="152511"/>
</workbook>
</file>

<file path=xl/calcChain.xml><?xml version="1.0" encoding="utf-8"?>
<calcChain xmlns="http://schemas.openxmlformats.org/spreadsheetml/2006/main">
  <c r="O61" i="73" l="1"/>
  <c r="O58" i="73"/>
  <c r="O61" i="76" l="1"/>
  <c r="O58" i="76"/>
  <c r="O61" i="75"/>
  <c r="O58" i="75"/>
  <c r="K74" i="76"/>
  <c r="J75" i="76" s="1"/>
  <c r="I75" i="76" s="1"/>
  <c r="K72" i="76"/>
  <c r="J72" i="76" s="1"/>
  <c r="I72" i="76" s="1"/>
  <c r="K70" i="76"/>
  <c r="J70" i="76" s="1"/>
  <c r="I70" i="76" s="1"/>
  <c r="K68" i="76"/>
  <c r="J68" i="76" s="1"/>
  <c r="I68" i="76" s="1"/>
  <c r="K66" i="76"/>
  <c r="J67" i="76" s="1"/>
  <c r="I67" i="76" s="1"/>
  <c r="J66" i="76"/>
  <c r="I66" i="76" s="1"/>
  <c r="J65" i="76"/>
  <c r="I65" i="76" s="1"/>
  <c r="J64" i="76"/>
  <c r="I64" i="76" s="1"/>
  <c r="K62" i="76"/>
  <c r="J62" i="76" s="1"/>
  <c r="I62" i="76" s="1"/>
  <c r="J61" i="76"/>
  <c r="I61" i="76" s="1"/>
  <c r="J60" i="76"/>
  <c r="I60" i="76" s="1"/>
  <c r="K58" i="76"/>
  <c r="J58" i="76" s="1"/>
  <c r="I58" i="76" s="1"/>
  <c r="K56" i="76"/>
  <c r="J56" i="76" s="1"/>
  <c r="I56" i="76" s="1"/>
  <c r="K74" i="75"/>
  <c r="J75" i="75" s="1"/>
  <c r="I75" i="75" s="1"/>
  <c r="K72" i="75"/>
  <c r="J72" i="75" s="1"/>
  <c r="I72" i="75" s="1"/>
  <c r="K70" i="75"/>
  <c r="J70" i="75" s="1"/>
  <c r="I70" i="75" s="1"/>
  <c r="K68" i="75"/>
  <c r="J68" i="75" s="1"/>
  <c r="I68" i="75" s="1"/>
  <c r="K66" i="75"/>
  <c r="J67" i="75" s="1"/>
  <c r="I67" i="75" s="1"/>
  <c r="J65" i="75"/>
  <c r="I65" i="75" s="1"/>
  <c r="J64" i="75"/>
  <c r="I64" i="75" s="1"/>
  <c r="K62" i="75"/>
  <c r="J62" i="75" s="1"/>
  <c r="I62" i="75" s="1"/>
  <c r="J61" i="75"/>
  <c r="I61" i="75" s="1"/>
  <c r="J60" i="75"/>
  <c r="I60" i="75" s="1"/>
  <c r="K58" i="75"/>
  <c r="J58" i="75" s="1"/>
  <c r="I58" i="75" s="1"/>
  <c r="K56" i="75"/>
  <c r="J56" i="75" s="1"/>
  <c r="I56" i="75" s="1"/>
  <c r="O61" i="74"/>
  <c r="O58" i="74"/>
  <c r="K74" i="74"/>
  <c r="J74" i="74" s="1"/>
  <c r="I74" i="74" s="1"/>
  <c r="K72" i="74"/>
  <c r="J73" i="74" s="1"/>
  <c r="I73" i="74" s="1"/>
  <c r="K70" i="74"/>
  <c r="J70" i="74" s="1"/>
  <c r="I70" i="74" s="1"/>
  <c r="K68" i="74"/>
  <c r="J68" i="74" s="1"/>
  <c r="I68" i="74" s="1"/>
  <c r="K66" i="74"/>
  <c r="J66" i="74" s="1"/>
  <c r="I66" i="74" s="1"/>
  <c r="J65" i="74"/>
  <c r="I65" i="74" s="1"/>
  <c r="J64" i="74"/>
  <c r="I64" i="74"/>
  <c r="K62" i="74"/>
  <c r="J63" i="74" s="1"/>
  <c r="I63" i="74" s="1"/>
  <c r="J61" i="74"/>
  <c r="I61" i="74" s="1"/>
  <c r="J60" i="74"/>
  <c r="I60" i="74" s="1"/>
  <c r="K58" i="74"/>
  <c r="J59" i="74" s="1"/>
  <c r="I59" i="74" s="1"/>
  <c r="K56" i="74"/>
  <c r="J57" i="74" s="1"/>
  <c r="I57" i="74" s="1"/>
  <c r="K74" i="73"/>
  <c r="J74" i="73" s="1"/>
  <c r="I74" i="73" s="1"/>
  <c r="K72" i="73"/>
  <c r="J73" i="73" s="1"/>
  <c r="I73" i="73" s="1"/>
  <c r="K70" i="73"/>
  <c r="J70" i="73" s="1"/>
  <c r="I70" i="73" s="1"/>
  <c r="K68" i="73"/>
  <c r="J68" i="73" s="1"/>
  <c r="I68" i="73" s="1"/>
  <c r="K66" i="73"/>
  <c r="J66" i="73" s="1"/>
  <c r="I66" i="73" s="1"/>
  <c r="J65" i="73"/>
  <c r="I65" i="73" s="1"/>
  <c r="J64" i="73"/>
  <c r="I64" i="73" s="1"/>
  <c r="K62" i="73"/>
  <c r="J63" i="73" s="1"/>
  <c r="I63" i="73" s="1"/>
  <c r="J61" i="73"/>
  <c r="I61" i="73" s="1"/>
  <c r="J60" i="73"/>
  <c r="I60" i="73" s="1"/>
  <c r="K58" i="73"/>
  <c r="J58" i="73" s="1"/>
  <c r="I58" i="73" s="1"/>
  <c r="K56" i="73"/>
  <c r="J57" i="73" s="1"/>
  <c r="I57" i="73" s="1"/>
  <c r="K74" i="72"/>
  <c r="J75" i="72" s="1"/>
  <c r="I75" i="72" s="1"/>
  <c r="K72" i="72"/>
  <c r="J72" i="72" s="1"/>
  <c r="I72" i="72" s="1"/>
  <c r="K70" i="72"/>
  <c r="J71" i="72" s="1"/>
  <c r="I71" i="72" s="1"/>
  <c r="J70" i="72"/>
  <c r="I70" i="72" s="1"/>
  <c r="K68" i="72"/>
  <c r="J68" i="72" s="1"/>
  <c r="I68" i="72" s="1"/>
  <c r="K66" i="72"/>
  <c r="J67" i="72" s="1"/>
  <c r="I67" i="72" s="1"/>
  <c r="J65" i="72"/>
  <c r="I65" i="72" s="1"/>
  <c r="J64" i="72"/>
  <c r="I64" i="72" s="1"/>
  <c r="K62" i="72"/>
  <c r="J62" i="72" s="1"/>
  <c r="I62" i="72" s="1"/>
  <c r="J61" i="72"/>
  <c r="I61" i="72" s="1"/>
  <c r="J60" i="72"/>
  <c r="I60" i="72" s="1"/>
  <c r="K58" i="72"/>
  <c r="J58" i="72" s="1"/>
  <c r="I58" i="72" s="1"/>
  <c r="K56" i="72"/>
  <c r="J56" i="72" s="1"/>
  <c r="I56" i="72" s="1"/>
  <c r="O61" i="72"/>
  <c r="O58" i="72"/>
  <c r="J71" i="76" l="1"/>
  <c r="I71" i="76" s="1"/>
  <c r="J56" i="74"/>
  <c r="I56" i="74" s="1"/>
  <c r="J67" i="73"/>
  <c r="I67" i="73" s="1"/>
  <c r="J69" i="75"/>
  <c r="I69" i="75" s="1"/>
  <c r="J74" i="76"/>
  <c r="I74" i="76" s="1"/>
  <c r="J59" i="72"/>
  <c r="I59" i="72" s="1"/>
  <c r="J69" i="72"/>
  <c r="I69" i="72" s="1"/>
  <c r="J67" i="74"/>
  <c r="I67" i="74" s="1"/>
  <c r="J59" i="76"/>
  <c r="I59" i="76" s="1"/>
  <c r="J66" i="72"/>
  <c r="I66" i="72" s="1"/>
  <c r="J58" i="74"/>
  <c r="I58" i="74" s="1"/>
  <c r="J57" i="72"/>
  <c r="I57" i="72" s="1"/>
  <c r="J56" i="73"/>
  <c r="I56" i="73" s="1"/>
  <c r="J59" i="73"/>
  <c r="I59" i="73" s="1"/>
  <c r="J72" i="74"/>
  <c r="I72" i="74" s="1"/>
  <c r="J74" i="72"/>
  <c r="I74" i="72" s="1"/>
  <c r="J72" i="73"/>
  <c r="I72" i="73" s="1"/>
  <c r="J69" i="76"/>
  <c r="I69" i="76" s="1"/>
  <c r="J59" i="75"/>
  <c r="I59" i="75" s="1"/>
  <c r="J66" i="75"/>
  <c r="I66" i="75" s="1"/>
  <c r="J71" i="75"/>
  <c r="I71" i="75" s="1"/>
  <c r="J74" i="75"/>
  <c r="I74" i="75" s="1"/>
  <c r="J57" i="76"/>
  <c r="I57" i="76" s="1"/>
  <c r="J73" i="76"/>
  <c r="I73" i="76" s="1"/>
  <c r="J63" i="76"/>
  <c r="I63" i="76" s="1"/>
  <c r="J57" i="75"/>
  <c r="I57" i="75" s="1"/>
  <c r="J73" i="75"/>
  <c r="I73" i="75" s="1"/>
  <c r="J63" i="75"/>
  <c r="I63" i="75" s="1"/>
  <c r="J75" i="74"/>
  <c r="I75" i="74" s="1"/>
  <c r="J69" i="74"/>
  <c r="I69" i="74" s="1"/>
  <c r="J62" i="74"/>
  <c r="I62" i="74" s="1"/>
  <c r="J71" i="74"/>
  <c r="I71" i="74" s="1"/>
  <c r="J75" i="73"/>
  <c r="I75" i="73" s="1"/>
  <c r="J69" i="73"/>
  <c r="I69" i="73" s="1"/>
  <c r="J62" i="73"/>
  <c r="I62" i="73" s="1"/>
  <c r="J71" i="73"/>
  <c r="I71" i="73" s="1"/>
  <c r="J63" i="72"/>
  <c r="I63" i="72" s="1"/>
  <c r="J73" i="72"/>
  <c r="I73" i="72" s="1"/>
  <c r="K74" i="60" l="1"/>
  <c r="J75" i="60" s="1"/>
  <c r="I75" i="60" s="1"/>
  <c r="K72" i="60"/>
  <c r="J72" i="60" s="1"/>
  <c r="I72" i="60" s="1"/>
  <c r="K70" i="60"/>
  <c r="J70" i="60" s="1"/>
  <c r="I70" i="60" s="1"/>
  <c r="K68" i="60"/>
  <c r="J68" i="60" s="1"/>
  <c r="I68" i="60" s="1"/>
  <c r="K66" i="60"/>
  <c r="J67" i="60" s="1"/>
  <c r="I67" i="60" s="1"/>
  <c r="J66" i="60"/>
  <c r="I66" i="60" s="1"/>
  <c r="J65" i="60"/>
  <c r="I65" i="60" s="1"/>
  <c r="J64" i="60"/>
  <c r="I64" i="60" s="1"/>
  <c r="K62" i="60"/>
  <c r="J62" i="60" s="1"/>
  <c r="I62" i="60" s="1"/>
  <c r="J61" i="60"/>
  <c r="I61" i="60" s="1"/>
  <c r="J60" i="60"/>
  <c r="I60" i="60" s="1"/>
  <c r="K58" i="60"/>
  <c r="J59" i="60" s="1"/>
  <c r="I59" i="60" s="1"/>
  <c r="K56" i="60"/>
  <c r="J57" i="60" s="1"/>
  <c r="I57" i="60" s="1"/>
  <c r="J56" i="60"/>
  <c r="I56" i="60" s="1"/>
  <c r="K74" i="63"/>
  <c r="J75" i="63" s="1"/>
  <c r="I75" i="63" s="1"/>
  <c r="K72" i="63"/>
  <c r="J72" i="63" s="1"/>
  <c r="I72" i="63" s="1"/>
  <c r="K70" i="63"/>
  <c r="J71" i="63" s="1"/>
  <c r="I71" i="63" s="1"/>
  <c r="K68" i="63"/>
  <c r="J69" i="63" s="1"/>
  <c r="I69" i="63" s="1"/>
  <c r="K66" i="63"/>
  <c r="J67" i="63" s="1"/>
  <c r="I67" i="63" s="1"/>
  <c r="J65" i="63"/>
  <c r="I65" i="63" s="1"/>
  <c r="J64" i="63"/>
  <c r="I64" i="63" s="1"/>
  <c r="K62" i="63"/>
  <c r="J62" i="63" s="1"/>
  <c r="I62" i="63" s="1"/>
  <c r="J61" i="63"/>
  <c r="I61" i="63" s="1"/>
  <c r="J60" i="63"/>
  <c r="I60" i="63" s="1"/>
  <c r="K58" i="63"/>
  <c r="J58" i="63" s="1"/>
  <c r="I58" i="63" s="1"/>
  <c r="K56" i="63"/>
  <c r="J57" i="63" s="1"/>
  <c r="I57" i="63" s="1"/>
  <c r="K74" i="61"/>
  <c r="J75" i="61" s="1"/>
  <c r="I75" i="61" s="1"/>
  <c r="K72" i="61"/>
  <c r="J72" i="61" s="1"/>
  <c r="I72" i="61" s="1"/>
  <c r="K70" i="61"/>
  <c r="J70" i="61" s="1"/>
  <c r="I70" i="61" s="1"/>
  <c r="K68" i="61"/>
  <c r="J69" i="61" s="1"/>
  <c r="I69" i="61" s="1"/>
  <c r="K66" i="61"/>
  <c r="J67" i="61" s="1"/>
  <c r="I67" i="61" s="1"/>
  <c r="J66" i="61"/>
  <c r="I66" i="61" s="1"/>
  <c r="J65" i="61"/>
  <c r="I65" i="61" s="1"/>
  <c r="J64" i="61"/>
  <c r="I64" i="61" s="1"/>
  <c r="K62" i="61"/>
  <c r="J62" i="61" s="1"/>
  <c r="I62" i="61" s="1"/>
  <c r="J61" i="61"/>
  <c r="I61" i="61" s="1"/>
  <c r="J60" i="61"/>
  <c r="I60" i="61" s="1"/>
  <c r="K58" i="61"/>
  <c r="J59" i="61" s="1"/>
  <c r="I59" i="61" s="1"/>
  <c r="K56" i="61"/>
  <c r="J56" i="61" s="1"/>
  <c r="I56" i="61" s="1"/>
  <c r="K74" i="62"/>
  <c r="J75" i="62" s="1"/>
  <c r="I75" i="62" s="1"/>
  <c r="K72" i="62"/>
  <c r="J72" i="62" s="1"/>
  <c r="I72" i="62" s="1"/>
  <c r="K70" i="62"/>
  <c r="J70" i="62" s="1"/>
  <c r="I70" i="62" s="1"/>
  <c r="K68" i="62"/>
  <c r="J68" i="62" s="1"/>
  <c r="I68" i="62" s="1"/>
  <c r="K66" i="62"/>
  <c r="J67" i="62" s="1"/>
  <c r="I67" i="62" s="1"/>
  <c r="J65" i="62"/>
  <c r="I65" i="62" s="1"/>
  <c r="J64" i="62"/>
  <c r="I64" i="62" s="1"/>
  <c r="K62" i="62"/>
  <c r="J62" i="62" s="1"/>
  <c r="I62" i="62" s="1"/>
  <c r="J61" i="62"/>
  <c r="I61" i="62" s="1"/>
  <c r="J60" i="62"/>
  <c r="I60" i="62" s="1"/>
  <c r="K58" i="62"/>
  <c r="J58" i="62" s="1"/>
  <c r="I58" i="62" s="1"/>
  <c r="K56" i="62"/>
  <c r="J56" i="62" s="1"/>
  <c r="I56" i="62" s="1"/>
  <c r="K74" i="64"/>
  <c r="J75" i="64" s="1"/>
  <c r="I75" i="64" s="1"/>
  <c r="K72" i="64"/>
  <c r="J72" i="64" s="1"/>
  <c r="I72" i="64" s="1"/>
  <c r="K70" i="64"/>
  <c r="J70" i="64" s="1"/>
  <c r="I70" i="64" s="1"/>
  <c r="K68" i="64"/>
  <c r="J68" i="64" s="1"/>
  <c r="I68" i="64" s="1"/>
  <c r="K66" i="64"/>
  <c r="J67" i="64" s="1"/>
  <c r="I67" i="64" s="1"/>
  <c r="J65" i="64"/>
  <c r="I65" i="64" s="1"/>
  <c r="J64" i="64"/>
  <c r="I64" i="64" s="1"/>
  <c r="K62" i="64"/>
  <c r="J62" i="64" s="1"/>
  <c r="I62" i="64" s="1"/>
  <c r="J61" i="64"/>
  <c r="I61" i="64" s="1"/>
  <c r="J60" i="64"/>
  <c r="I60" i="64" s="1"/>
  <c r="K58" i="64"/>
  <c r="J59" i="64" s="1"/>
  <c r="I59" i="64" s="1"/>
  <c r="K56" i="64"/>
  <c r="J57" i="64" s="1"/>
  <c r="I57" i="64" s="1"/>
  <c r="K74" i="51"/>
  <c r="J75" i="51" s="1"/>
  <c r="I75" i="51" s="1"/>
  <c r="K72" i="51"/>
  <c r="J72" i="51" s="1"/>
  <c r="I72" i="51" s="1"/>
  <c r="K70" i="51"/>
  <c r="J71" i="51" s="1"/>
  <c r="I71" i="51" s="1"/>
  <c r="K68" i="51"/>
  <c r="J69" i="51" s="1"/>
  <c r="I69" i="51" s="1"/>
  <c r="K66" i="51"/>
  <c r="J67" i="51" s="1"/>
  <c r="I67" i="51" s="1"/>
  <c r="J65" i="51"/>
  <c r="I65" i="51" s="1"/>
  <c r="J64" i="51"/>
  <c r="I64" i="51" s="1"/>
  <c r="K62" i="51"/>
  <c r="J62" i="51" s="1"/>
  <c r="I62" i="51" s="1"/>
  <c r="J61" i="51"/>
  <c r="I61" i="51" s="1"/>
  <c r="J60" i="51"/>
  <c r="I60" i="51"/>
  <c r="K58" i="51"/>
  <c r="J58" i="51" s="1"/>
  <c r="I58" i="51" s="1"/>
  <c r="K56" i="51"/>
  <c r="J57" i="51" s="1"/>
  <c r="I57" i="51" s="1"/>
  <c r="K74" i="65"/>
  <c r="J75" i="65" s="1"/>
  <c r="I75" i="65" s="1"/>
  <c r="K72" i="65"/>
  <c r="J72" i="65" s="1"/>
  <c r="I72" i="65" s="1"/>
  <c r="K70" i="65"/>
  <c r="J71" i="65" s="1"/>
  <c r="I71" i="65" s="1"/>
  <c r="K68" i="65"/>
  <c r="J69" i="65" s="1"/>
  <c r="I69" i="65" s="1"/>
  <c r="J68" i="65"/>
  <c r="I68" i="65" s="1"/>
  <c r="K66" i="65"/>
  <c r="J67" i="65" s="1"/>
  <c r="I67" i="65" s="1"/>
  <c r="J65" i="65"/>
  <c r="I65" i="65" s="1"/>
  <c r="J64" i="65"/>
  <c r="I64" i="65" s="1"/>
  <c r="K62" i="65"/>
  <c r="J62" i="65" s="1"/>
  <c r="I62" i="65" s="1"/>
  <c r="J61" i="65"/>
  <c r="I61" i="65" s="1"/>
  <c r="J60" i="65"/>
  <c r="I60" i="65" s="1"/>
  <c r="K58" i="65"/>
  <c r="J58" i="65" s="1"/>
  <c r="I58" i="65" s="1"/>
  <c r="K56" i="65"/>
  <c r="J56" i="65" s="1"/>
  <c r="I56" i="65" s="1"/>
  <c r="K74" i="66"/>
  <c r="J75" i="66" s="1"/>
  <c r="I75" i="66" s="1"/>
  <c r="K72" i="66"/>
  <c r="J72" i="66" s="1"/>
  <c r="I72" i="66" s="1"/>
  <c r="K70" i="66"/>
  <c r="J71" i="66" s="1"/>
  <c r="I71" i="66" s="1"/>
  <c r="J70" i="66"/>
  <c r="I70" i="66" s="1"/>
  <c r="K68" i="66"/>
  <c r="J68" i="66" s="1"/>
  <c r="I68" i="66" s="1"/>
  <c r="K66" i="66"/>
  <c r="J67" i="66" s="1"/>
  <c r="I67" i="66" s="1"/>
  <c r="J65" i="66"/>
  <c r="I65" i="66" s="1"/>
  <c r="J64" i="66"/>
  <c r="I64" i="66" s="1"/>
  <c r="K62" i="66"/>
  <c r="J62" i="66" s="1"/>
  <c r="I62" i="66" s="1"/>
  <c r="J61" i="66"/>
  <c r="I61" i="66" s="1"/>
  <c r="J60" i="66"/>
  <c r="I60" i="66" s="1"/>
  <c r="K58" i="66"/>
  <c r="J58" i="66" s="1"/>
  <c r="I58" i="66" s="1"/>
  <c r="K56" i="66"/>
  <c r="J56" i="66" s="1"/>
  <c r="I56" i="66" s="1"/>
  <c r="K74" i="67"/>
  <c r="J75" i="67" s="1"/>
  <c r="I75" i="67" s="1"/>
  <c r="K72" i="67"/>
  <c r="J72" i="67" s="1"/>
  <c r="I72" i="67" s="1"/>
  <c r="K70" i="67"/>
  <c r="J70" i="67" s="1"/>
  <c r="I70" i="67" s="1"/>
  <c r="K68" i="67"/>
  <c r="J68" i="67" s="1"/>
  <c r="I68" i="67" s="1"/>
  <c r="K66" i="67"/>
  <c r="J67" i="67" s="1"/>
  <c r="I67" i="67" s="1"/>
  <c r="J65" i="67"/>
  <c r="I65" i="67" s="1"/>
  <c r="J64" i="67"/>
  <c r="I64" i="67" s="1"/>
  <c r="K62" i="67"/>
  <c r="J62" i="67" s="1"/>
  <c r="I62" i="67" s="1"/>
  <c r="J61" i="67"/>
  <c r="I61" i="67" s="1"/>
  <c r="J60" i="67"/>
  <c r="I60" i="67"/>
  <c r="K58" i="67"/>
  <c r="J59" i="67" s="1"/>
  <c r="I59" i="67" s="1"/>
  <c r="K56" i="67"/>
  <c r="J57" i="67" s="1"/>
  <c r="I57" i="67" s="1"/>
  <c r="K74" i="68"/>
  <c r="J75" i="68" s="1"/>
  <c r="I75" i="68" s="1"/>
  <c r="K72" i="68"/>
  <c r="J72" i="68" s="1"/>
  <c r="I72" i="68" s="1"/>
  <c r="K70" i="68"/>
  <c r="J71" i="68" s="1"/>
  <c r="I71" i="68" s="1"/>
  <c r="K68" i="68"/>
  <c r="J69" i="68" s="1"/>
  <c r="I69" i="68" s="1"/>
  <c r="K66" i="68"/>
  <c r="J67" i="68" s="1"/>
  <c r="I67" i="68" s="1"/>
  <c r="J65" i="68"/>
  <c r="I65" i="68" s="1"/>
  <c r="J64" i="68"/>
  <c r="I64" i="68" s="1"/>
  <c r="K62" i="68"/>
  <c r="J62" i="68" s="1"/>
  <c r="I62" i="68" s="1"/>
  <c r="J61" i="68"/>
  <c r="I61" i="68" s="1"/>
  <c r="J60" i="68"/>
  <c r="I60" i="68" s="1"/>
  <c r="K58" i="68"/>
  <c r="J58" i="68" s="1"/>
  <c r="I58" i="68" s="1"/>
  <c r="K56" i="68"/>
  <c r="J57" i="68" s="1"/>
  <c r="I57" i="68" s="1"/>
  <c r="K74" i="69"/>
  <c r="J75" i="69" s="1"/>
  <c r="I75" i="69" s="1"/>
  <c r="J74" i="69"/>
  <c r="I74" i="69" s="1"/>
  <c r="K72" i="69"/>
  <c r="J73" i="69" s="1"/>
  <c r="I73" i="69" s="1"/>
  <c r="K70" i="69"/>
  <c r="J70" i="69" s="1"/>
  <c r="I70" i="69" s="1"/>
  <c r="K68" i="69"/>
  <c r="J68" i="69" s="1"/>
  <c r="I68" i="69" s="1"/>
  <c r="K66" i="69"/>
  <c r="J66" i="69" s="1"/>
  <c r="I66" i="69" s="1"/>
  <c r="J65" i="69"/>
  <c r="I65" i="69" s="1"/>
  <c r="J64" i="69"/>
  <c r="I64" i="69" s="1"/>
  <c r="K62" i="69"/>
  <c r="J63" i="69" s="1"/>
  <c r="I63" i="69" s="1"/>
  <c r="J61" i="69"/>
  <c r="I61" i="69" s="1"/>
  <c r="J60" i="69"/>
  <c r="I60" i="69" s="1"/>
  <c r="K58" i="69"/>
  <c r="J58" i="69" s="1"/>
  <c r="I58" i="69" s="1"/>
  <c r="K56" i="69"/>
  <c r="J56" i="69" s="1"/>
  <c r="I56" i="69" s="1"/>
  <c r="K74" i="70"/>
  <c r="J75" i="70" s="1"/>
  <c r="I75" i="70" s="1"/>
  <c r="K72" i="70"/>
  <c r="J72" i="70" s="1"/>
  <c r="I72" i="70" s="1"/>
  <c r="K70" i="70"/>
  <c r="J70" i="70" s="1"/>
  <c r="I70" i="70" s="1"/>
  <c r="K68" i="70"/>
  <c r="J69" i="70" s="1"/>
  <c r="I69" i="70" s="1"/>
  <c r="K66" i="70"/>
  <c r="J67" i="70" s="1"/>
  <c r="I67" i="70" s="1"/>
  <c r="J65" i="70"/>
  <c r="I65" i="70" s="1"/>
  <c r="J64" i="70"/>
  <c r="I64" i="70" s="1"/>
  <c r="K62" i="70"/>
  <c r="J62" i="70" s="1"/>
  <c r="I62" i="70" s="1"/>
  <c r="J61" i="70"/>
  <c r="I61" i="70" s="1"/>
  <c r="J60" i="70"/>
  <c r="I60" i="70" s="1"/>
  <c r="K58" i="70"/>
  <c r="J58" i="70" s="1"/>
  <c r="I58" i="70" s="1"/>
  <c r="K56" i="70"/>
  <c r="J57" i="70" s="1"/>
  <c r="I57" i="70" s="1"/>
  <c r="J65" i="71"/>
  <c r="I65" i="71" s="1"/>
  <c r="J64" i="71"/>
  <c r="I64" i="71" s="1"/>
  <c r="J61" i="71"/>
  <c r="I61" i="71" s="1"/>
  <c r="J60" i="71"/>
  <c r="I60" i="71" s="1"/>
  <c r="K74" i="71"/>
  <c r="J74" i="71" s="1"/>
  <c r="I74" i="71" s="1"/>
  <c r="K72" i="71"/>
  <c r="J73" i="71" s="1"/>
  <c r="I73" i="71" s="1"/>
  <c r="K70" i="71"/>
  <c r="J70" i="71" s="1"/>
  <c r="I70" i="71" s="1"/>
  <c r="K68" i="71"/>
  <c r="J69" i="71" s="1"/>
  <c r="I69" i="71" s="1"/>
  <c r="K66" i="71"/>
  <c r="J66" i="71" s="1"/>
  <c r="I66" i="71" s="1"/>
  <c r="K62" i="71"/>
  <c r="J62" i="71" s="1"/>
  <c r="I62" i="71" s="1"/>
  <c r="K58" i="71"/>
  <c r="J58" i="71" s="1"/>
  <c r="I58" i="71" s="1"/>
  <c r="K56" i="71"/>
  <c r="J57" i="71" s="1"/>
  <c r="I57" i="71" s="1"/>
  <c r="O61" i="71"/>
  <c r="O58" i="71"/>
  <c r="O61" i="70"/>
  <c r="O58" i="70"/>
  <c r="O61" i="69"/>
  <c r="O58" i="69"/>
  <c r="O61" i="68"/>
  <c r="O58" i="68"/>
  <c r="O61" i="67"/>
  <c r="O58" i="67"/>
  <c r="O61" i="66"/>
  <c r="O58" i="66"/>
  <c r="O61" i="65"/>
  <c r="O58" i="65"/>
  <c r="J69" i="66" l="1"/>
  <c r="I69" i="66" s="1"/>
  <c r="J56" i="51"/>
  <c r="I56" i="51" s="1"/>
  <c r="J59" i="63"/>
  <c r="I59" i="63" s="1"/>
  <c r="J71" i="60"/>
  <c r="I71" i="60" s="1"/>
  <c r="J59" i="70"/>
  <c r="I59" i="70" s="1"/>
  <c r="J56" i="67"/>
  <c r="I56" i="67" s="1"/>
  <c r="J72" i="71"/>
  <c r="I72" i="71" s="1"/>
  <c r="J66" i="67"/>
  <c r="I66" i="67" s="1"/>
  <c r="J68" i="51"/>
  <c r="I68" i="51" s="1"/>
  <c r="J74" i="64"/>
  <c r="I74" i="64" s="1"/>
  <c r="J59" i="68"/>
  <c r="I59" i="68" s="1"/>
  <c r="J57" i="61"/>
  <c r="I57" i="61" s="1"/>
  <c r="J71" i="61"/>
  <c r="I71" i="61" s="1"/>
  <c r="J63" i="71"/>
  <c r="I63" i="71" s="1"/>
  <c r="J66" i="51"/>
  <c r="I66" i="51" s="1"/>
  <c r="J70" i="51"/>
  <c r="I70" i="51" s="1"/>
  <c r="J58" i="61"/>
  <c r="I58" i="61" s="1"/>
  <c r="J74" i="63"/>
  <c r="I74" i="63" s="1"/>
  <c r="J58" i="60"/>
  <c r="I58" i="60" s="1"/>
  <c r="J74" i="60"/>
  <c r="I74" i="60" s="1"/>
  <c r="J68" i="70"/>
  <c r="I68" i="70" s="1"/>
  <c r="J74" i="70"/>
  <c r="I74" i="70" s="1"/>
  <c r="J74" i="68"/>
  <c r="I74" i="68" s="1"/>
  <c r="J58" i="67"/>
  <c r="I58" i="67" s="1"/>
  <c r="J74" i="61"/>
  <c r="I74" i="61" s="1"/>
  <c r="J71" i="71"/>
  <c r="I71" i="71" s="1"/>
  <c r="J56" i="70"/>
  <c r="I56" i="70" s="1"/>
  <c r="J66" i="70"/>
  <c r="I66" i="70" s="1"/>
  <c r="J69" i="69"/>
  <c r="I69" i="69" s="1"/>
  <c r="J56" i="68"/>
  <c r="I56" i="68" s="1"/>
  <c r="J66" i="68"/>
  <c r="I66" i="68" s="1"/>
  <c r="J70" i="68"/>
  <c r="I70" i="68" s="1"/>
  <c r="J57" i="65"/>
  <c r="I57" i="65" s="1"/>
  <c r="J70" i="65"/>
  <c r="I70" i="65" s="1"/>
  <c r="J74" i="65"/>
  <c r="I74" i="65" s="1"/>
  <c r="J59" i="51"/>
  <c r="I59" i="51" s="1"/>
  <c r="J56" i="64"/>
  <c r="I56" i="64" s="1"/>
  <c r="J66" i="64"/>
  <c r="I66" i="64" s="1"/>
  <c r="J69" i="62"/>
  <c r="I69" i="62" s="1"/>
  <c r="J68" i="61"/>
  <c r="I68" i="61" s="1"/>
  <c r="J68" i="63"/>
  <c r="I68" i="63" s="1"/>
  <c r="J59" i="65"/>
  <c r="I59" i="65" s="1"/>
  <c r="J71" i="62"/>
  <c r="I71" i="62" s="1"/>
  <c r="J59" i="71"/>
  <c r="I59" i="71" s="1"/>
  <c r="J57" i="69"/>
  <c r="I57" i="69" s="1"/>
  <c r="J62" i="69"/>
  <c r="I62" i="69" s="1"/>
  <c r="J72" i="69"/>
  <c r="I72" i="69" s="1"/>
  <c r="J68" i="68"/>
  <c r="I68" i="68" s="1"/>
  <c r="J74" i="67"/>
  <c r="I74" i="67" s="1"/>
  <c r="J66" i="65"/>
  <c r="I66" i="65" s="1"/>
  <c r="J74" i="51"/>
  <c r="I74" i="51" s="1"/>
  <c r="J58" i="64"/>
  <c r="I58" i="64" s="1"/>
  <c r="J56" i="63"/>
  <c r="I56" i="63" s="1"/>
  <c r="J66" i="63"/>
  <c r="I66" i="63" s="1"/>
  <c r="J70" i="63"/>
  <c r="I70" i="63" s="1"/>
  <c r="J69" i="60"/>
  <c r="I69" i="60" s="1"/>
  <c r="J67" i="71"/>
  <c r="I67" i="71" s="1"/>
  <c r="J56" i="71"/>
  <c r="I56" i="71" s="1"/>
  <c r="J68" i="71"/>
  <c r="I68" i="71" s="1"/>
  <c r="J67" i="69"/>
  <c r="I67" i="69" s="1"/>
  <c r="J69" i="67"/>
  <c r="I69" i="67" s="1"/>
  <c r="J71" i="70"/>
  <c r="I71" i="70" s="1"/>
  <c r="J71" i="64"/>
  <c r="I71" i="64" s="1"/>
  <c r="J59" i="62"/>
  <c r="I59" i="62" s="1"/>
  <c r="J75" i="71"/>
  <c r="I75" i="71" s="1"/>
  <c r="J57" i="66"/>
  <c r="I57" i="66" s="1"/>
  <c r="J69" i="64"/>
  <c r="I69" i="64" s="1"/>
  <c r="J57" i="62"/>
  <c r="I57" i="62" s="1"/>
  <c r="J71" i="67"/>
  <c r="I71" i="67" s="1"/>
  <c r="J59" i="66"/>
  <c r="I59" i="66" s="1"/>
  <c r="J66" i="66"/>
  <c r="I66" i="66" s="1"/>
  <c r="J74" i="66"/>
  <c r="I74" i="66" s="1"/>
  <c r="J66" i="62"/>
  <c r="I66" i="62" s="1"/>
  <c r="J74" i="62"/>
  <c r="I74" i="62" s="1"/>
  <c r="J63" i="61"/>
  <c r="I63" i="61" s="1"/>
  <c r="J73" i="61"/>
  <c r="I73" i="61" s="1"/>
  <c r="J63" i="60"/>
  <c r="I63" i="60" s="1"/>
  <c r="J73" i="60"/>
  <c r="I73" i="60" s="1"/>
  <c r="J63" i="64"/>
  <c r="I63" i="64" s="1"/>
  <c r="J73" i="64"/>
  <c r="I73" i="64" s="1"/>
  <c r="J63" i="62"/>
  <c r="I63" i="62" s="1"/>
  <c r="J73" i="62"/>
  <c r="I73" i="62" s="1"/>
  <c r="J63" i="63"/>
  <c r="I63" i="63" s="1"/>
  <c r="J73" i="63"/>
  <c r="I73" i="63" s="1"/>
  <c r="J73" i="66"/>
  <c r="I73" i="66" s="1"/>
  <c r="J63" i="51"/>
  <c r="I63" i="51" s="1"/>
  <c r="J73" i="51"/>
  <c r="I73" i="51" s="1"/>
  <c r="J63" i="66"/>
  <c r="I63" i="66" s="1"/>
  <c r="J63" i="65"/>
  <c r="I63" i="65" s="1"/>
  <c r="J73" i="65"/>
  <c r="I73" i="65" s="1"/>
  <c r="J63" i="67"/>
  <c r="I63" i="67" s="1"/>
  <c r="J73" i="67"/>
  <c r="I73" i="67" s="1"/>
  <c r="J63" i="68"/>
  <c r="I63" i="68" s="1"/>
  <c r="J73" i="68"/>
  <c r="I73" i="68" s="1"/>
  <c r="J59" i="69"/>
  <c r="I59" i="69" s="1"/>
  <c r="J71" i="69"/>
  <c r="I71" i="69" s="1"/>
  <c r="J63" i="70"/>
  <c r="I63" i="70" s="1"/>
  <c r="J73" i="70"/>
  <c r="I73" i="70" s="1"/>
  <c r="O61" i="63" l="1"/>
  <c r="O58" i="63"/>
  <c r="O61" i="64"/>
  <c r="O58" i="64"/>
  <c r="O61" i="62"/>
  <c r="O58" i="62"/>
  <c r="O61" i="51"/>
  <c r="O58" i="51"/>
  <c r="O61" i="61"/>
  <c r="O58" i="61"/>
  <c r="O61" i="60" l="1"/>
  <c r="O58" i="60"/>
</calcChain>
</file>

<file path=xl/sharedStrings.xml><?xml version="1.0" encoding="utf-8"?>
<sst xmlns="http://schemas.openxmlformats.org/spreadsheetml/2006/main" count="13336" uniqueCount="587">
  <si>
    <t>Register_End</t>
    <phoneticPr fontId="2" type="noConversion"/>
  </si>
  <si>
    <t>N</t>
    <phoneticPr fontId="2" type="noConversion"/>
  </si>
  <si>
    <t>N/A</t>
    <phoneticPr fontId="2" type="noConversion"/>
  </si>
  <si>
    <t>Sub-Bank</t>
    <phoneticPr fontId="2" type="noConversion"/>
  </si>
  <si>
    <t>Base</t>
    <phoneticPr fontId="2" type="noConversion"/>
  </si>
  <si>
    <t>Register_Name</t>
    <phoneticPr fontId="2" type="noConversion"/>
  </si>
  <si>
    <t>ChipVersion</t>
    <phoneticPr fontId="2" type="noConversion"/>
  </si>
  <si>
    <t>Excel CodeGen Version:</t>
    <phoneticPr fontId="2" type="noConversion"/>
  </si>
  <si>
    <t>1.01</t>
    <phoneticPr fontId="2" type="noConversion"/>
  </si>
  <si>
    <t>Excel SW Version:</t>
    <phoneticPr fontId="2" type="noConversion"/>
  </si>
  <si>
    <t>Sub IP</t>
    <phoneticPr fontId="2" type="noConversion"/>
  </si>
  <si>
    <t>Reg Name</t>
    <phoneticPr fontId="2" type="noConversion"/>
  </si>
  <si>
    <t>Description</t>
    <phoneticPr fontId="2" type="noConversion"/>
  </si>
  <si>
    <t>RegName</t>
    <phoneticPr fontId="2" type="noConversion"/>
  </si>
  <si>
    <t>Bank</t>
    <phoneticPr fontId="2" type="noConversion"/>
  </si>
  <si>
    <t>Address</t>
  </si>
  <si>
    <t>Byte</t>
    <phoneticPr fontId="2" type="noConversion"/>
  </si>
  <si>
    <t>Mask</t>
    <phoneticPr fontId="2" type="noConversion"/>
  </si>
  <si>
    <t>Panel_End</t>
    <phoneticPr fontId="2" type="noConversion"/>
  </si>
  <si>
    <t>CaseGen Ver.</t>
    <phoneticPr fontId="2" type="noConversion"/>
  </si>
  <si>
    <t>MapGen Ver.</t>
    <phoneticPr fontId="2" type="noConversion"/>
  </si>
  <si>
    <t>1.05</t>
    <phoneticPr fontId="2" type="noConversion"/>
  </si>
  <si>
    <t>IP_Name</t>
    <phoneticPr fontId="2" type="noConversion"/>
  </si>
  <si>
    <t>FileName</t>
    <phoneticPr fontId="2" type="noConversion"/>
  </si>
  <si>
    <t>NORMAL</t>
    <phoneticPr fontId="2" type="noConversion"/>
  </si>
  <si>
    <t>FullHeader</t>
    <phoneticPr fontId="2" type="noConversion"/>
  </si>
  <si>
    <t>Pre_ENUM</t>
    <phoneticPr fontId="2" type="noConversion"/>
  </si>
  <si>
    <t>TYPE</t>
    <phoneticPr fontId="2" type="noConversion"/>
  </si>
  <si>
    <t>Group</t>
    <phoneticPr fontId="2" type="noConversion"/>
  </si>
  <si>
    <t>ALL</t>
    <phoneticPr fontId="2" type="noConversion"/>
  </si>
  <si>
    <t>Timing Type</t>
    <phoneticPr fontId="2" type="noConversion"/>
  </si>
  <si>
    <t>Support (Y/N)</t>
    <phoneticPr fontId="2" type="noConversion"/>
  </si>
  <si>
    <t>Y</t>
    <phoneticPr fontId="2" type="noConversion"/>
  </si>
  <si>
    <t>0xFF</t>
  </si>
  <si>
    <t>Y</t>
    <phoneticPr fontId="2" type="noConversion"/>
  </si>
  <si>
    <t>480_60P</t>
    <phoneticPr fontId="2" type="noConversion"/>
  </si>
  <si>
    <t>HDMITX_ATOP</t>
    <phoneticPr fontId="2" type="noConversion"/>
  </si>
  <si>
    <t>HDMITX_DTOP</t>
    <phoneticPr fontId="2" type="noConversion"/>
  </si>
  <si>
    <t>-</t>
  </si>
  <si>
    <t>L</t>
  </si>
  <si>
    <t>0x00</t>
    <phoneticPr fontId="2" type="noConversion"/>
  </si>
  <si>
    <t>H</t>
    <phoneticPr fontId="2" type="noConversion"/>
  </si>
  <si>
    <t>HAL_HDMITX</t>
    <phoneticPr fontId="2" type="noConversion"/>
  </si>
  <si>
    <t>0x01</t>
    <phoneticPr fontId="2" type="noConversion"/>
  </si>
  <si>
    <t>0x16</t>
    <phoneticPr fontId="2" type="noConversion"/>
  </si>
  <si>
    <t>0xf0</t>
    <phoneticPr fontId="2" type="noConversion"/>
  </si>
  <si>
    <t>reg_discdet_en_ch</t>
    <phoneticPr fontId="2" type="noConversion"/>
  </si>
  <si>
    <t>reg_din_en_pstdrv_tap1/0_ch</t>
    <phoneticPr fontId="2" type="noConversion"/>
  </si>
  <si>
    <t>reg_din_en_pstdrv_tap2_ch</t>
    <phoneticPr fontId="2" type="noConversion"/>
  </si>
  <si>
    <t>disconnect function</t>
  </si>
  <si>
    <t>0x00</t>
    <phoneticPr fontId="2" type="noConversion"/>
  </si>
  <si>
    <t>0x17</t>
    <phoneticPr fontId="2" type="noConversion"/>
  </si>
  <si>
    <t>0x08</t>
    <phoneticPr fontId="2" type="noConversion"/>
  </si>
  <si>
    <t>reg_gcr_ictrl_sel_tap0_ch0</t>
    <phoneticPr fontId="2" type="noConversion"/>
  </si>
  <si>
    <t>0x20</t>
    <phoneticPr fontId="2" type="noConversion"/>
  </si>
  <si>
    <t>reg_gcr_ictrl_sel_tap0_ch1</t>
    <phoneticPr fontId="2" type="noConversion"/>
  </si>
  <si>
    <t>reg_gcr_ictrl_sel_tap0_ch2</t>
    <phoneticPr fontId="2" type="noConversion"/>
  </si>
  <si>
    <t>reg_gcr_ictrl_sel_tap0_ch3</t>
    <phoneticPr fontId="2" type="noConversion"/>
  </si>
  <si>
    <t>0x21</t>
    <phoneticPr fontId="2" type="noConversion"/>
  </si>
  <si>
    <t>reg_gcr_ictrl_sel_tap1_ch0</t>
    <phoneticPr fontId="2" type="noConversion"/>
  </si>
  <si>
    <t>reg_gcr_ictrl_sel_tap1_ch1</t>
    <phoneticPr fontId="2" type="noConversion"/>
  </si>
  <si>
    <t>reg_gcr_ictrl_sel_tap1_ch2</t>
  </si>
  <si>
    <t>reg_gcr_ictrl_sel_tap1_ch3</t>
  </si>
  <si>
    <t>reg_gcr_ictrl_sel_tap2_ch0</t>
    <phoneticPr fontId="2" type="noConversion"/>
  </si>
  <si>
    <t>reg_gcr_ictrl_sel_tap2_ch1</t>
  </si>
  <si>
    <t>reg_gcr_ictrl_sel_tap2_ch2</t>
  </si>
  <si>
    <t>reg_gcr_ictrl_sel_tap2_ch3</t>
  </si>
  <si>
    <t>0x22</t>
    <phoneticPr fontId="2" type="noConversion"/>
  </si>
  <si>
    <t>0x14</t>
    <phoneticPr fontId="2" type="noConversion"/>
  </si>
  <si>
    <t>0x23</t>
    <phoneticPr fontId="2" type="noConversion"/>
  </si>
  <si>
    <t>0x24</t>
    <phoneticPr fontId="2" type="noConversion"/>
  </si>
  <si>
    <t>0x24</t>
    <phoneticPr fontId="2" type="noConversion"/>
  </si>
  <si>
    <t>0x25</t>
    <phoneticPr fontId="2" type="noConversion"/>
  </si>
  <si>
    <t>0x25</t>
    <phoneticPr fontId="2" type="noConversion"/>
  </si>
  <si>
    <t>reg_vclamp_drv_en_ch</t>
    <phoneticPr fontId="2" type="noConversion"/>
  </si>
  <si>
    <t>clamp function enable</t>
    <phoneticPr fontId="2" type="noConversion"/>
  </si>
  <si>
    <t>0x0f</t>
    <phoneticPr fontId="2" type="noConversion"/>
  </si>
  <si>
    <t>reg_pd_pstdrv_tap1/0_ch</t>
    <phoneticPr fontId="2" type="noConversion"/>
  </si>
  <si>
    <t>0x30</t>
    <phoneticPr fontId="2" type="noConversion"/>
  </si>
  <si>
    <t>0x0f</t>
    <phoneticPr fontId="2" type="noConversion"/>
  </si>
  <si>
    <t>reg_pd_pstdrv_tap2_ch</t>
    <phoneticPr fontId="2" type="noConversion"/>
  </si>
  <si>
    <t>0x31</t>
    <phoneticPr fontId="2" type="noConversion"/>
  </si>
  <si>
    <t>0x31</t>
    <phoneticPr fontId="2" type="noConversion"/>
  </si>
  <si>
    <t>0x0f</t>
    <phoneticPr fontId="2" type="noConversion"/>
  </si>
  <si>
    <t>reg_pd_predrv_tap2_ch</t>
    <phoneticPr fontId="2" type="noConversion"/>
  </si>
  <si>
    <t>reg_pd_predrv_tap1/0_ch</t>
    <phoneticPr fontId="2" type="noConversion"/>
  </si>
  <si>
    <t>0x32</t>
    <phoneticPr fontId="2" type="noConversion"/>
  </si>
  <si>
    <t>0x32</t>
    <phoneticPr fontId="2" type="noConversion"/>
  </si>
  <si>
    <t>0x33</t>
    <phoneticPr fontId="2" type="noConversion"/>
  </si>
  <si>
    <t>reg_pd_ldo_clktree</t>
    <phoneticPr fontId="2" type="noConversion"/>
  </si>
  <si>
    <t>0x34</t>
    <phoneticPr fontId="2" type="noConversion"/>
  </si>
  <si>
    <t>reg_pd_hdmitxpll</t>
    <phoneticPr fontId="2" type="noConversion"/>
  </si>
  <si>
    <t>0x35</t>
    <phoneticPr fontId="2" type="noConversion"/>
  </si>
  <si>
    <t>0x39</t>
    <phoneticPr fontId="2" type="noConversion"/>
  </si>
  <si>
    <t>reg_gcr_predrv_slewrate_ctrl_ch1/0</t>
    <phoneticPr fontId="2" type="noConversion"/>
  </si>
  <si>
    <t>reg_gcr_predrv_slewrate_ctrl_ch3/2</t>
    <phoneticPr fontId="2" type="noConversion"/>
  </si>
  <si>
    <t>0x39</t>
    <phoneticPr fontId="2" type="noConversion"/>
  </si>
  <si>
    <t>0x33</t>
    <phoneticPr fontId="2" type="noConversion"/>
  </si>
  <si>
    <t>0x03</t>
    <phoneticPr fontId="2" type="noConversion"/>
  </si>
  <si>
    <t>reg_gcr_mux_tap_en_ch1/0</t>
    <phoneticPr fontId="2" type="noConversion"/>
  </si>
  <si>
    <t>reg_gcr_mux_tap_en_ch3/2</t>
    <phoneticPr fontId="2" type="noConversion"/>
  </si>
  <si>
    <t>0x22</t>
    <phoneticPr fontId="2" type="noConversion"/>
  </si>
  <si>
    <t>reg_ckg_hdmi_tx_atop</t>
    <phoneticPr fontId="2" type="noConversion"/>
  </si>
  <si>
    <t>hdmi atop wp dig clock ckg</t>
    <phoneticPr fontId="2" type="noConversion"/>
  </si>
  <si>
    <t>CLKGEN</t>
  </si>
  <si>
    <t>CLKGEN</t>
    <phoneticPr fontId="2" type="noConversion"/>
  </si>
  <si>
    <t>clk_432</t>
    <phoneticPr fontId="2" type="noConversion"/>
  </si>
  <si>
    <t>enable clock 432 for synth</t>
    <phoneticPr fontId="2" type="noConversion"/>
  </si>
  <si>
    <t>hdmi atop (common)</t>
    <phoneticPr fontId="2" type="noConversion"/>
  </si>
  <si>
    <t>resolution related</t>
    <phoneticPr fontId="2" type="noConversion"/>
  </si>
  <si>
    <t>synthesizer set</t>
    <phoneticPr fontId="2" type="noConversion"/>
  </si>
  <si>
    <t>reg_syn_set[7:0]</t>
    <phoneticPr fontId="2" type="noConversion"/>
  </si>
  <si>
    <t>reg_syn_set[15:8]</t>
    <phoneticPr fontId="2" type="noConversion"/>
  </si>
  <si>
    <t>reg_syn_set[23:16]</t>
    <phoneticPr fontId="2" type="noConversion"/>
  </si>
  <si>
    <t>0x10</t>
    <phoneticPr fontId="2" type="noConversion"/>
  </si>
  <si>
    <t>0x10</t>
    <phoneticPr fontId="2" type="noConversion"/>
  </si>
  <si>
    <t>0x11</t>
    <phoneticPr fontId="2" type="noConversion"/>
  </si>
  <si>
    <t>0x40</t>
    <phoneticPr fontId="2" type="noConversion"/>
  </si>
  <si>
    <t>0x06</t>
    <phoneticPr fontId="2" type="noConversion"/>
  </si>
  <si>
    <t>0x06</t>
    <phoneticPr fontId="2" type="noConversion"/>
  </si>
  <si>
    <t>reg_hdmi_syn_ssc_step[7:0]</t>
    <phoneticPr fontId="2" type="noConversion"/>
  </si>
  <si>
    <t>reg_hdmi_syn_ssc_step[10:8]</t>
    <phoneticPr fontId="2" type="noConversion"/>
  </si>
  <si>
    <t>synthesizer span</t>
    <phoneticPr fontId="2" type="noConversion"/>
  </si>
  <si>
    <t>0x05</t>
    <phoneticPr fontId="2" type="noConversion"/>
  </si>
  <si>
    <t>0x05</t>
    <phoneticPr fontId="2" type="noConversion"/>
  </si>
  <si>
    <t>0x0a</t>
    <phoneticPr fontId="2" type="noConversion"/>
  </si>
  <si>
    <t>synthesizer step</t>
    <phoneticPr fontId="2" type="noConversion"/>
  </si>
  <si>
    <t>reg_hdmi_syn_ssc_span[7:0]</t>
    <phoneticPr fontId="2" type="noConversion"/>
  </si>
  <si>
    <t>reg_hdmi_syn_ssc_span[14:8]</t>
    <phoneticPr fontId="2" type="noConversion"/>
  </si>
  <si>
    <t>0x01</t>
    <phoneticPr fontId="2" type="noConversion"/>
  </si>
  <si>
    <t>reg_gcr_hdmitxpll_loop_div_first[2:0]</t>
    <phoneticPr fontId="2" type="noConversion"/>
  </si>
  <si>
    <t>reg_gcr_hdmitxpll_loop_div_second[7:0]</t>
    <phoneticPr fontId="2" type="noConversion"/>
  </si>
  <si>
    <t>divider</t>
    <phoneticPr fontId="2" type="noConversion"/>
  </si>
  <si>
    <t>0x13</t>
    <phoneticPr fontId="2" type="noConversion"/>
  </si>
  <si>
    <t>0x13</t>
    <phoneticPr fontId="2" type="noConversion"/>
  </si>
  <si>
    <t>[11:8]: reg_pd_ldo_mux_ch</t>
    <phoneticPr fontId="2" type="noConversion"/>
  </si>
  <si>
    <t>top clock gen (common)</t>
    <phoneticPr fontId="2" type="noConversion"/>
  </si>
  <si>
    <t>disp clk gen (common)</t>
    <phoneticPr fontId="2" type="noConversion"/>
  </si>
  <si>
    <t>reg_ckg_dac</t>
    <phoneticPr fontId="18" type="noConversion"/>
  </si>
  <si>
    <t>scaler clk_hdmi enable</t>
    <phoneticPr fontId="2" type="noConversion"/>
  </si>
  <si>
    <t>scaler clk_dac enable</t>
    <phoneticPr fontId="2" type="noConversion"/>
  </si>
  <si>
    <t>reg_ckg_hdmi</t>
    <phoneticPr fontId="18" type="noConversion"/>
  </si>
  <si>
    <t>0x36</t>
    <phoneticPr fontId="2" type="noConversion"/>
  </si>
  <si>
    <t>hdmi dtop (pat gen)</t>
    <phoneticPr fontId="2" type="noConversion"/>
  </si>
  <si>
    <t>0x10</t>
    <phoneticPr fontId="2" type="noConversion"/>
  </si>
  <si>
    <t>0x11</t>
    <phoneticPr fontId="2" type="noConversion"/>
  </si>
  <si>
    <t>0x12</t>
    <phoneticPr fontId="2" type="noConversion"/>
  </si>
  <si>
    <t>0x13</t>
    <phoneticPr fontId="2" type="noConversion"/>
  </si>
  <si>
    <t>0x14</t>
    <phoneticPr fontId="2" type="noConversion"/>
  </si>
  <si>
    <t>0x15</t>
    <phoneticPr fontId="2" type="noConversion"/>
  </si>
  <si>
    <t>0x15</t>
    <phoneticPr fontId="2" type="noConversion"/>
  </si>
  <si>
    <t>0x17</t>
    <phoneticPr fontId="2" type="noConversion"/>
  </si>
  <si>
    <t>0x18</t>
    <phoneticPr fontId="2" type="noConversion"/>
  </si>
  <si>
    <t>0x19</t>
    <phoneticPr fontId="2" type="noConversion"/>
  </si>
  <si>
    <t>0x19</t>
    <phoneticPr fontId="2" type="noConversion"/>
  </si>
  <si>
    <t>13 bit</t>
    <phoneticPr fontId="2" type="noConversion"/>
  </si>
  <si>
    <t>13 bit</t>
    <phoneticPr fontId="2" type="noConversion"/>
  </si>
  <si>
    <t>hs start</t>
    <phoneticPr fontId="2" type="noConversion"/>
  </si>
  <si>
    <t>h total</t>
    <phoneticPr fontId="2" type="noConversion"/>
  </si>
  <si>
    <t>13 bit</t>
    <phoneticPr fontId="2" type="noConversion"/>
  </si>
  <si>
    <t>v total</t>
    <phoneticPr fontId="2" type="noConversion"/>
  </si>
  <si>
    <t>hs start</t>
    <phoneticPr fontId="2" type="noConversion"/>
  </si>
  <si>
    <t>hs end</t>
    <phoneticPr fontId="2" type="noConversion"/>
  </si>
  <si>
    <t>hs end</t>
    <phoneticPr fontId="2" type="noConversion"/>
  </si>
  <si>
    <t>vs start</t>
    <phoneticPr fontId="2" type="noConversion"/>
  </si>
  <si>
    <t>vs start</t>
    <phoneticPr fontId="2" type="noConversion"/>
  </si>
  <si>
    <t>vs end</t>
    <phoneticPr fontId="2" type="noConversion"/>
  </si>
  <si>
    <t>vs end</t>
    <phoneticPr fontId="2" type="noConversion"/>
  </si>
  <si>
    <t>hfde start</t>
    <phoneticPr fontId="2" type="noConversion"/>
  </si>
  <si>
    <t>hfde start</t>
    <phoneticPr fontId="2" type="noConversion"/>
  </si>
  <si>
    <t>hfde end</t>
    <phoneticPr fontId="2" type="noConversion"/>
  </si>
  <si>
    <t>hfde end</t>
    <phoneticPr fontId="2" type="noConversion"/>
  </si>
  <si>
    <t>vfde start</t>
    <phoneticPr fontId="2" type="noConversion"/>
  </si>
  <si>
    <t>vfde start</t>
    <phoneticPr fontId="2" type="noConversion"/>
  </si>
  <si>
    <t>vfde end</t>
    <phoneticPr fontId="2" type="noConversion"/>
  </si>
  <si>
    <t>0x02</t>
    <phoneticPr fontId="2" type="noConversion"/>
  </si>
  <si>
    <t>0x0c</t>
    <phoneticPr fontId="2" type="noConversion"/>
  </si>
  <si>
    <t>[0]: reg_hdmi_dvi</t>
    <phoneticPr fontId="2" type="noConversion"/>
  </si>
  <si>
    <t>enable hdmi mode</t>
    <phoneticPr fontId="2" type="noConversion"/>
  </si>
  <si>
    <t>0x08</t>
    <phoneticPr fontId="2" type="noConversion"/>
  </si>
  <si>
    <t>0x21</t>
    <phoneticPr fontId="2" type="noConversion"/>
  </si>
  <si>
    <t>enable data island</t>
    <phoneticPr fontId="2" type="noConversion"/>
  </si>
  <si>
    <t>[0]: reg_v_cdi_en</t>
    <phoneticPr fontId="2" type="noConversion"/>
  </si>
  <si>
    <t>0x09</t>
    <phoneticPr fontId="2" type="noConversion"/>
  </si>
  <si>
    <t>reg_v_di_start</t>
    <phoneticPr fontId="2" type="noConversion"/>
  </si>
  <si>
    <t>[11:8]: reg_v_cdi_cnt
[15:12]: reg_v_adi_cnt</t>
    <phoneticPr fontId="2" type="noConversion"/>
  </si>
  <si>
    <t>vblanking data island start point</t>
    <phoneticPr fontId="2" type="noConversion"/>
  </si>
  <si>
    <t>0x09</t>
    <phoneticPr fontId="2" type="noConversion"/>
  </si>
  <si>
    <t>pkt cnt per data island (include 0)</t>
    <phoneticPr fontId="2" type="noConversion"/>
  </si>
  <si>
    <t>reg_h_di_start</t>
    <phoneticPr fontId="2" type="noConversion"/>
  </si>
  <si>
    <t>[11:8]: reg_h_cdi_cnt
[15:12]: reg_h_adi_cnt</t>
    <phoneticPr fontId="2" type="noConversion"/>
  </si>
  <si>
    <t>hblanking data island start point</t>
    <phoneticPr fontId="2" type="noConversion"/>
  </si>
  <si>
    <t>0x07</t>
    <phoneticPr fontId="2" type="noConversion"/>
  </si>
  <si>
    <t>reg_v_cdi_max_cnt</t>
    <phoneticPr fontId="2" type="noConversion"/>
  </si>
  <si>
    <t>vblanking data island cnt</t>
    <phoneticPr fontId="2" type="noConversion"/>
  </si>
  <si>
    <t>[11:8]: reg_v_cdi_spac
[15:12]: reg_h_cdi_spac</t>
    <phoneticPr fontId="2" type="noConversion"/>
  </si>
  <si>
    <t>control period len between
data island</t>
    <phoneticPr fontId="2" type="noConversion"/>
  </si>
  <si>
    <t>packet enable</t>
    <phoneticPr fontId="2" type="noConversion"/>
  </si>
  <si>
    <t>[2:0]: reg_gcr_hdmitxpll_output_div
[3]: reg_gcr_hdmitxpll_porst
[6:4]: reg_gcr_hdmitxpll_tmds_div</t>
    <phoneticPr fontId="2" type="noConversion"/>
  </si>
  <si>
    <t>[3:0]: reg_pd_drv_biasgen_ch
[7:4]: reg_pd_biasgen</t>
    <phoneticPr fontId="2" type="noConversion"/>
  </si>
  <si>
    <t>[3:0]: reg_pd_rterm_ch
[7:4]: reg_pd_ldo_predrv_ch</t>
    <phoneticPr fontId="2" type="noConversion"/>
  </si>
  <si>
    <t>[0]: pkt0, [1]: pkt1, [2]: audio, [3]: acr
[4]: ado, [5]: avi, [6]: gc, [7]: nul</t>
    <phoneticPr fontId="2" type="noConversion"/>
  </si>
  <si>
    <t>[8]: pkt2</t>
    <phoneticPr fontId="2" type="noConversion"/>
  </si>
  <si>
    <t>0x60</t>
    <phoneticPr fontId="2" type="noConversion"/>
  </si>
  <si>
    <t>0x06</t>
    <phoneticPr fontId="2" type="noConversion"/>
  </si>
  <si>
    <t>[1:0]: reg_pfp_te
[3:2]: reg_pfp_te</t>
    <phoneticPr fontId="2" type="noConversion"/>
  </si>
  <si>
    <t>pkt trans set &amp; clr</t>
    <phoneticPr fontId="2" type="noConversion"/>
  </si>
  <si>
    <t>avi infoFrame</t>
    <phoneticPr fontId="2" type="noConversion"/>
  </si>
  <si>
    <t>0x36</t>
    <phoneticPr fontId="2" type="noConversion"/>
  </si>
  <si>
    <t>0x36</t>
    <phoneticPr fontId="2" type="noConversion"/>
  </si>
  <si>
    <t>0x6f</t>
    <phoneticPr fontId="2" type="noConversion"/>
  </si>
  <si>
    <t>[0]: reg_pd_n</t>
    <phoneticPr fontId="2" type="noConversion"/>
  </si>
  <si>
    <t>hdmi tx dtop on</t>
    <phoneticPr fontId="2" type="noConversion"/>
  </si>
  <si>
    <t>0x05</t>
    <phoneticPr fontId="2" type="noConversion"/>
  </si>
  <si>
    <t>[0]: patgen en
[2:1]: patgen mode</t>
    <phoneticPr fontId="2" type="noConversion"/>
  </si>
  <si>
    <t>hdmi patgen related</t>
    <phoneticPr fontId="2" type="noConversion"/>
  </si>
  <si>
    <t>0x80</t>
    <phoneticPr fontId="2" type="noConversion"/>
  </si>
  <si>
    <t>0x31</t>
    <phoneticPr fontId="2" type="noConversion"/>
  </si>
  <si>
    <t>0xe4</t>
    <phoneticPr fontId="2" type="noConversion"/>
  </si>
  <si>
    <t>0xb3</t>
    <phoneticPr fontId="2" type="noConversion"/>
  </si>
  <si>
    <t>0x2e</t>
    <phoneticPr fontId="2" type="noConversion"/>
  </si>
  <si>
    <t>0x12</t>
    <phoneticPr fontId="2" type="noConversion"/>
  </si>
  <si>
    <t>0x2a</t>
    <phoneticPr fontId="2" type="noConversion"/>
  </si>
  <si>
    <t>0x45</t>
    <phoneticPr fontId="2" type="noConversion"/>
  </si>
  <si>
    <t>0x8b</t>
    <phoneticPr fontId="2" type="noConversion"/>
  </si>
  <si>
    <t>0xa2</t>
    <phoneticPr fontId="2" type="noConversion"/>
  </si>
  <si>
    <t>0x2b</t>
    <phoneticPr fontId="2" type="noConversion"/>
  </si>
  <si>
    <t>0x5f</t>
    <phoneticPr fontId="2" type="noConversion"/>
  </si>
  <si>
    <t>0x10</t>
    <phoneticPr fontId="2" type="noConversion"/>
  </si>
  <si>
    <t>INIT_HDMITX_ATOP</t>
    <phoneticPr fontId="2" type="noConversion"/>
  </si>
  <si>
    <t>INIT_HDMITX_ATOP</t>
    <phoneticPr fontId="2" type="noConversion"/>
  </si>
  <si>
    <t>0x1038</t>
    <phoneticPr fontId="2" type="noConversion"/>
  </si>
  <si>
    <t>N</t>
    <phoneticPr fontId="2" type="noConversion"/>
  </si>
  <si>
    <t>INIT_HDMITX_DTOP_CTRL</t>
    <phoneticPr fontId="2" type="noConversion"/>
  </si>
  <si>
    <t>INIT_HDMITX_DTOP_CTRL</t>
    <phoneticPr fontId="2" type="noConversion"/>
  </si>
  <si>
    <t>INIT_HDMITX_DTOP_TIMING</t>
    <phoneticPr fontId="2" type="noConversion"/>
  </si>
  <si>
    <t>INIT_HDMITX_DTOP_TIMING</t>
    <phoneticPr fontId="2" type="noConversion"/>
  </si>
  <si>
    <t>INIT_HDMITX_DTOP_TIMING</t>
    <phoneticPr fontId="2" type="noConversion"/>
  </si>
  <si>
    <t>0x3B</t>
    <phoneticPr fontId="2" type="noConversion"/>
  </si>
  <si>
    <t>0x3B</t>
    <phoneticPr fontId="2" type="noConversion"/>
  </si>
  <si>
    <t>0x1C</t>
    <phoneticPr fontId="2" type="noConversion"/>
  </si>
  <si>
    <t>0x1C</t>
    <phoneticPr fontId="2" type="noConversion"/>
  </si>
  <si>
    <t>0x1D</t>
    <phoneticPr fontId="2" type="noConversion"/>
  </si>
  <si>
    <t>0x1D</t>
    <phoneticPr fontId="2" type="noConversion"/>
  </si>
  <si>
    <t>0x0A</t>
    <phoneticPr fontId="2" type="noConversion"/>
  </si>
  <si>
    <t>0x0A</t>
    <phoneticPr fontId="2" type="noConversion"/>
  </si>
  <si>
    <t>0x0B</t>
    <phoneticPr fontId="2" type="noConversion"/>
  </si>
  <si>
    <t>0x0B</t>
    <phoneticPr fontId="2" type="noConversion"/>
  </si>
  <si>
    <t>0x1B</t>
    <phoneticPr fontId="2" type="noConversion"/>
  </si>
  <si>
    <t>0x1B</t>
    <phoneticPr fontId="2" type="noConversion"/>
  </si>
  <si>
    <t>0x1B</t>
    <phoneticPr fontId="2" type="noConversion"/>
  </si>
  <si>
    <t>0x1E</t>
    <phoneticPr fontId="2" type="noConversion"/>
  </si>
  <si>
    <t>SKIP</t>
    <phoneticPr fontId="2" type="noConversion"/>
  </si>
  <si>
    <t>hal_hdmitx_top_tbl</t>
    <phoneticPr fontId="2" type="noConversion"/>
  </si>
  <si>
    <t>0x2C</t>
    <phoneticPr fontId="2" type="noConversion"/>
  </si>
  <si>
    <t>0x2C</t>
    <phoneticPr fontId="2" type="noConversion"/>
  </si>
  <si>
    <t>[15:8]: strip_width</t>
    <phoneticPr fontId="2" type="noConversion"/>
  </si>
  <si>
    <t>[15:8]: strip_width</t>
    <phoneticPr fontId="2" type="noConversion"/>
  </si>
  <si>
    <t>[15:8]: strip_width</t>
    <phoneticPr fontId="2" type="noConversion"/>
  </si>
  <si>
    <t>0x4d</t>
    <phoneticPr fontId="2" type="noConversion"/>
  </si>
  <si>
    <t>0x5c</t>
    <phoneticPr fontId="2" type="noConversion"/>
  </si>
  <si>
    <t>0x1f</t>
    <phoneticPr fontId="2" type="noConversion"/>
  </si>
  <si>
    <t>0x50</t>
    <phoneticPr fontId="2" type="noConversion"/>
  </si>
  <si>
    <t>0x12</t>
    <phoneticPr fontId="2" type="noConversion"/>
  </si>
  <si>
    <t>0x35</t>
    <phoneticPr fontId="2" type="noConversion"/>
  </si>
  <si>
    <t>0x52</t>
    <phoneticPr fontId="2" type="noConversion"/>
  </si>
  <si>
    <t>0x00</t>
    <phoneticPr fontId="2" type="noConversion"/>
  </si>
  <si>
    <t>0x6f</t>
    <phoneticPr fontId="2" type="noConversion"/>
  </si>
  <si>
    <t>0x48</t>
    <phoneticPr fontId="2" type="noConversion"/>
  </si>
  <si>
    <t>0x20</t>
    <phoneticPr fontId="2" type="noConversion"/>
  </si>
  <si>
    <t>0xb1</t>
    <phoneticPr fontId="2" type="noConversion"/>
  </si>
  <si>
    <t>0x28</t>
    <phoneticPr fontId="2" type="noConversion"/>
  </si>
  <si>
    <t>0x47</t>
    <phoneticPr fontId="2" type="noConversion"/>
  </si>
  <si>
    <t>0x7e</t>
    <phoneticPr fontId="2" type="noConversion"/>
  </si>
  <si>
    <t>0x26</t>
    <phoneticPr fontId="2" type="noConversion"/>
  </si>
  <si>
    <t>0xe0</t>
    <phoneticPr fontId="2" type="noConversion"/>
  </si>
  <si>
    <t>0x7b</t>
    <phoneticPr fontId="2" type="noConversion"/>
  </si>
  <si>
    <t>0x29</t>
    <phoneticPr fontId="2" type="noConversion"/>
  </si>
  <si>
    <t>0x42</t>
    <phoneticPr fontId="2" type="noConversion"/>
  </si>
  <si>
    <t>0x25</t>
    <phoneticPr fontId="2" type="noConversion"/>
  </si>
  <si>
    <t>0x1c</t>
    <phoneticPr fontId="2" type="noConversion"/>
  </si>
  <si>
    <t>0xfc</t>
    <phoneticPr fontId="2" type="noConversion"/>
  </si>
  <si>
    <t>0x4a</t>
    <phoneticPr fontId="2" type="noConversion"/>
  </si>
  <si>
    <t>0xaa</t>
    <phoneticPr fontId="2" type="noConversion"/>
  </si>
  <si>
    <t>0xaa</t>
    <phoneticPr fontId="2" type="noConversion"/>
  </si>
  <si>
    <t>0x145A</t>
    <phoneticPr fontId="2" type="noConversion"/>
  </si>
  <si>
    <t>0x1459</t>
    <phoneticPr fontId="2" type="noConversion"/>
  </si>
  <si>
    <t>0x1150</t>
    <phoneticPr fontId="2" type="noConversion"/>
  </si>
  <si>
    <t>DISP_GP_CTRL</t>
    <phoneticPr fontId="2" type="noConversion"/>
  </si>
  <si>
    <t>0x1137</t>
    <phoneticPr fontId="2" type="noConversion"/>
  </si>
  <si>
    <t>synthesizer setting</t>
    <phoneticPr fontId="2" type="noConversion"/>
  </si>
  <si>
    <t>DISP_GP_CTRL</t>
    <phoneticPr fontId="2" type="noConversion"/>
  </si>
  <si>
    <t>disp clk gen (common)</t>
    <phoneticPr fontId="2" type="noConversion"/>
  </si>
  <si>
    <t>DISP_TOP0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</si>
  <si>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</si>
  <si>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</si>
  <si>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</si>
  <si>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BackPorch</t>
    <phoneticPr fontId="2" type="noConversion"/>
  </si>
  <si>
    <t>Active</t>
    <phoneticPr fontId="2" type="noConversion"/>
  </si>
  <si>
    <t>Active</t>
    <phoneticPr fontId="2" type="noConversion"/>
  </si>
  <si>
    <t>FrontPorch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</si>
  <si>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</si>
  <si>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</si>
  <si>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</si>
  <si>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Sync</t>
    <phoneticPr fontId="2" type="noConversion"/>
  </si>
  <si>
    <t>FPS</t>
    <phoneticPr fontId="2" type="noConversion"/>
  </si>
  <si>
    <t>FPS</t>
    <phoneticPr fontId="2" type="noConversion"/>
  </si>
  <si>
    <t>CAMDRV_HDMITX</t>
    <phoneticPr fontId="2" type="noConversion"/>
  </si>
  <si>
    <t>Sync</t>
    <phoneticPr fontId="2" type="noConversion"/>
  </si>
  <si>
    <t>BackPorch</t>
    <phoneticPr fontId="2" type="noConversion"/>
  </si>
  <si>
    <t>FPS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</si>
  <si>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</si>
  <si>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</si>
  <si>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</si>
  <si>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</si>
  <si>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</si>
  <si>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V</t>
    <phoneticPr fontId="2" type="noConversion"/>
  </si>
  <si>
    <t>Active</t>
    <phoneticPr fontId="2" type="noConversion"/>
  </si>
  <si>
    <t>FPS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</si>
  <si>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</si>
  <si>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</si>
  <si>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</si>
  <si>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</si>
  <si>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</si>
  <si>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</si>
  <si>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H</t>
    <phoneticPr fontId="2" type="noConversion"/>
  </si>
  <si>
    <t>Total</t>
    <phoneticPr fontId="2" type="noConversion"/>
  </si>
  <si>
    <t>V</t>
    <phoneticPr fontId="2" type="noConversion"/>
  </si>
  <si>
    <t>FrontPorch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</si>
  <si>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</si>
  <si>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</si>
  <si>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</si>
  <si>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</si>
  <si>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</si>
  <si>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</si>
  <si>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FrontPorch</t>
    <phoneticPr fontId="2" type="noConversion"/>
  </si>
  <si>
    <t>FPS</t>
    <phoneticPr fontId="2" type="noConversion"/>
  </si>
  <si>
    <t>Sync</t>
    <phoneticPr fontId="2" type="noConversion"/>
  </si>
  <si>
    <t>V</t>
    <phoneticPr fontId="2" type="noConversion"/>
  </si>
  <si>
    <t>Total</t>
    <phoneticPr fontId="2" type="noConversion"/>
  </si>
  <si>
    <t>Sync</t>
    <phoneticPr fontId="2" type="noConversion"/>
  </si>
  <si>
    <t>Active</t>
    <phoneticPr fontId="2" type="noConversion"/>
  </si>
  <si>
    <t>FPS</t>
    <phoneticPr fontId="2" type="noConversion"/>
  </si>
  <si>
    <t>FrontPorch</t>
    <phoneticPr fontId="2" type="noConversion"/>
  </si>
  <si>
    <t>V</t>
    <phoneticPr fontId="2" type="noConversion"/>
  </si>
  <si>
    <t>BackPorch</t>
    <phoneticPr fontId="2" type="noConversion"/>
  </si>
  <si>
    <t>BackPorch</t>
    <phoneticPr fontId="2" type="noConversion"/>
  </si>
  <si>
    <t>Total</t>
    <phoneticPr fontId="2" type="noConversion"/>
  </si>
  <si>
    <t>Sync</t>
    <phoneticPr fontId="2" type="noConversion"/>
  </si>
  <si>
    <t>BackPorch</t>
    <phoneticPr fontId="2" type="noConversion"/>
  </si>
  <si>
    <t>FrontPorch</t>
    <phoneticPr fontId="2" type="noConversion"/>
  </si>
  <si>
    <t>Total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</si>
  <si>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</si>
  <si>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</si>
  <si>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</si>
  <si>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H</t>
    <phoneticPr fontId="2" type="noConversion"/>
  </si>
  <si>
    <t>Active</t>
    <phoneticPr fontId="2" type="noConversion"/>
  </si>
  <si>
    <t>Sync</t>
    <phoneticPr fontId="2" type="noConversion"/>
  </si>
  <si>
    <t>FrontPorch</t>
    <phoneticPr fontId="2" type="noConversion"/>
  </si>
  <si>
    <t>Total</t>
    <phoneticPr fontId="2" type="noConversion"/>
  </si>
  <si>
    <t>INIT_HDMITX_ATOP</t>
    <phoneticPr fontId="2" type="noConversion"/>
  </si>
  <si>
    <t>Group</t>
    <phoneticPr fontId="2" type="noConversion"/>
  </si>
  <si>
    <t>Sub IP</t>
    <phoneticPr fontId="2" type="noConversion"/>
  </si>
  <si>
    <t>Reg Name</t>
    <phoneticPr fontId="2" type="noConversion"/>
  </si>
  <si>
    <t>RegName</t>
    <phoneticPr fontId="2" type="noConversion"/>
  </si>
  <si>
    <t>Mask</t>
    <phoneticPr fontId="2" type="noConversion"/>
  </si>
  <si>
    <t>enable clock 432 for synth</t>
    <phoneticPr fontId="2" type="noConversion"/>
  </si>
  <si>
    <t>0x48</t>
    <phoneticPr fontId="2" type="noConversion"/>
  </si>
  <si>
    <t>H</t>
    <phoneticPr fontId="2" type="noConversion"/>
  </si>
  <si>
    <t>0x00</t>
    <phoneticPr fontId="2" type="noConversion"/>
  </si>
  <si>
    <t>hdmi atop (common)</t>
    <phoneticPr fontId="2" type="noConversion"/>
  </si>
  <si>
    <t>HDMITX_ATOP</t>
    <phoneticPr fontId="2" type="noConversion"/>
  </si>
  <si>
    <t>0x16</t>
    <phoneticPr fontId="2" type="noConversion"/>
  </si>
  <si>
    <t>0xf0</t>
    <phoneticPr fontId="2" type="noConversion"/>
  </si>
  <si>
    <t>0x16</t>
    <phoneticPr fontId="2" type="noConversion"/>
  </si>
  <si>
    <t>0x07</t>
    <phoneticPr fontId="2" type="noConversion"/>
  </si>
  <si>
    <t>0x08</t>
    <phoneticPr fontId="2" type="noConversion"/>
  </si>
  <si>
    <t>0x20</t>
    <phoneticPr fontId="2" type="noConversion"/>
  </si>
  <si>
    <t>reg_gcr_ictrl_sel_tap0_ch1</t>
    <phoneticPr fontId="2" type="noConversion"/>
  </si>
  <si>
    <t>HDMITX_ATOP</t>
    <phoneticPr fontId="2" type="noConversion"/>
  </si>
  <si>
    <t>0x21</t>
    <phoneticPr fontId="2" type="noConversion"/>
  </si>
  <si>
    <t>0x00</t>
    <phoneticPr fontId="2" type="noConversion"/>
  </si>
  <si>
    <t>reg_gcr_ictrl_sel_tap1_ch0</t>
    <phoneticPr fontId="2" type="noConversion"/>
  </si>
  <si>
    <t>0x22</t>
    <phoneticPr fontId="2" type="noConversion"/>
  </si>
  <si>
    <t>0x2c</t>
    <phoneticPr fontId="2" type="noConversion"/>
  </si>
  <si>
    <t>0x2c</t>
    <phoneticPr fontId="2" type="noConversion"/>
  </si>
  <si>
    <t>reg_gcr_ictrl_sel_tap1_ch1</t>
    <phoneticPr fontId="2" type="noConversion"/>
  </si>
  <si>
    <t>H</t>
    <phoneticPr fontId="2" type="noConversion"/>
  </si>
  <si>
    <t>0x23</t>
    <phoneticPr fontId="2" type="noConversion"/>
  </si>
  <si>
    <t>0x14</t>
    <phoneticPr fontId="2" type="noConversion"/>
  </si>
  <si>
    <t>0x24</t>
    <phoneticPr fontId="2" type="noConversion"/>
  </si>
  <si>
    <t>0x25</t>
    <phoneticPr fontId="2" type="noConversion"/>
  </si>
  <si>
    <t>clamp function enable</t>
    <phoneticPr fontId="2" type="noConversion"/>
  </si>
  <si>
    <t>0x2C</t>
    <phoneticPr fontId="2" type="noConversion"/>
  </si>
  <si>
    <t>0x0f</t>
    <phoneticPr fontId="2" type="noConversion"/>
  </si>
  <si>
    <t>0x0f</t>
    <phoneticPr fontId="2" type="noConversion"/>
  </si>
  <si>
    <t>reg_pd_pstdrv_tap2_ch</t>
    <phoneticPr fontId="2" type="noConversion"/>
  </si>
  <si>
    <t>0x30</t>
    <phoneticPr fontId="2" type="noConversion"/>
  </si>
  <si>
    <t>0x08</t>
    <phoneticPr fontId="2" type="noConversion"/>
  </si>
  <si>
    <t>0x31</t>
    <phoneticPr fontId="2" type="noConversion"/>
  </si>
  <si>
    <t>0x31</t>
    <phoneticPr fontId="2" type="noConversion"/>
  </si>
  <si>
    <t>[3:0]: reg_pd_rterm_ch
[7:4]: reg_pd_ldo_predrv_ch</t>
    <phoneticPr fontId="2" type="noConversion"/>
  </si>
  <si>
    <t>0x32</t>
    <phoneticPr fontId="2" type="noConversion"/>
  </si>
  <si>
    <t>reg_pd_ldo_clktree</t>
    <phoneticPr fontId="2" type="noConversion"/>
  </si>
  <si>
    <t>0x33</t>
    <phoneticPr fontId="2" type="noConversion"/>
  </si>
  <si>
    <t>reg_pd_hdmitxpll</t>
    <phoneticPr fontId="2" type="noConversion"/>
  </si>
  <si>
    <t>hdmi atop (common)</t>
    <phoneticPr fontId="2" type="noConversion"/>
  </si>
  <si>
    <t>[3:0]: reg_pd_drv_biasgen_ch
[7:4]: reg_pd_biasgen</t>
    <phoneticPr fontId="2" type="noConversion"/>
  </si>
  <si>
    <t>0x35</t>
    <phoneticPr fontId="2" type="noConversion"/>
  </si>
  <si>
    <t>reg_gcr_predrv_slewrate_ctrl_ch1/0</t>
    <phoneticPr fontId="2" type="noConversion"/>
  </si>
  <si>
    <t>0x39</t>
    <phoneticPr fontId="2" type="noConversion"/>
  </si>
  <si>
    <t>reg_gcr_predrv_slewrate_ctrl_ch3/2</t>
    <phoneticPr fontId="2" type="noConversion"/>
  </si>
  <si>
    <t>H</t>
    <phoneticPr fontId="2" type="noConversion"/>
  </si>
  <si>
    <t>reg_gcr_mux_tap_en_ch1/0</t>
    <phoneticPr fontId="2" type="noConversion"/>
  </si>
  <si>
    <t>reg_gcr_mux_tap_en_ch3/2</t>
    <phoneticPr fontId="2" type="noConversion"/>
  </si>
  <si>
    <t>0x3B</t>
    <phoneticPr fontId="2" type="noConversion"/>
  </si>
  <si>
    <t>reg_ckg_hdmi_tx_atop</t>
    <phoneticPr fontId="2" type="noConversion"/>
  </si>
  <si>
    <t>synthesizer setting</t>
    <phoneticPr fontId="2" type="noConversion"/>
  </si>
  <si>
    <t>0x06</t>
    <phoneticPr fontId="2" type="noConversion"/>
  </si>
  <si>
    <t>reg_hdmi_syn_ssc_span[14:8]</t>
    <phoneticPr fontId="2" type="noConversion"/>
  </si>
  <si>
    <t>synthesizer span</t>
    <phoneticPr fontId="2" type="noConversion"/>
  </si>
  <si>
    <t>0x06</t>
    <phoneticPr fontId="2" type="noConversion"/>
  </si>
  <si>
    <t>reg_hdmi_syn_ssc_step[7:0]</t>
    <phoneticPr fontId="2" type="noConversion"/>
  </si>
  <si>
    <t>synthesizer setting</t>
    <phoneticPr fontId="2" type="noConversion"/>
  </si>
  <si>
    <t>reg_hdmi_syn_ssc_step[10:8]</t>
    <phoneticPr fontId="2" type="noConversion"/>
  </si>
  <si>
    <t>0x05</t>
    <phoneticPr fontId="2" type="noConversion"/>
  </si>
  <si>
    <t>resolution related</t>
    <phoneticPr fontId="2" type="noConversion"/>
  </si>
  <si>
    <t>reg_gcr_hdmitxpll_loop_div_first[2:0]</t>
    <phoneticPr fontId="2" type="noConversion"/>
  </si>
  <si>
    <t>divider</t>
    <phoneticPr fontId="2" type="noConversion"/>
  </si>
  <si>
    <t>0x01</t>
    <phoneticPr fontId="2" type="noConversion"/>
  </si>
  <si>
    <t>reg_gcr_hdmitxpll_loop_div_second[7:0]</t>
    <phoneticPr fontId="2" type="noConversion"/>
  </si>
  <si>
    <t>0x1C</t>
    <phoneticPr fontId="2" type="noConversion"/>
  </si>
  <si>
    <t>[2:0]: reg_gcr_hdmitxpll_output_div
[3]: reg_gcr_hdmitxpll_porst
[6:4]: reg_gcr_hdmitxpll_tmds_div</t>
    <phoneticPr fontId="2" type="noConversion"/>
  </si>
  <si>
    <t>0x1D</t>
    <phoneticPr fontId="2" type="noConversion"/>
  </si>
  <si>
    <t>resolution related</t>
    <phoneticPr fontId="2" type="noConversion"/>
  </si>
  <si>
    <t>reg_syn_set[7:0]</t>
    <phoneticPr fontId="2" type="noConversion"/>
  </si>
  <si>
    <t>synthesizer set</t>
    <phoneticPr fontId="2" type="noConversion"/>
  </si>
  <si>
    <t>DISP_TOP0</t>
    <phoneticPr fontId="2" type="noConversion"/>
  </si>
  <si>
    <t>0xe4</t>
    <phoneticPr fontId="2" type="noConversion"/>
  </si>
  <si>
    <t>resolution related</t>
    <phoneticPr fontId="2" type="noConversion"/>
  </si>
  <si>
    <t>reg_syn_set[15:8]</t>
    <phoneticPr fontId="2" type="noConversion"/>
  </si>
  <si>
    <t>synthesizer set</t>
    <phoneticPr fontId="2" type="noConversion"/>
  </si>
  <si>
    <t>DISP_TOP0</t>
    <phoneticPr fontId="2" type="noConversion"/>
  </si>
  <si>
    <t>0xb3</t>
    <phoneticPr fontId="2" type="noConversion"/>
  </si>
  <si>
    <t>reg_syn_set[23:16]</t>
    <phoneticPr fontId="2" type="noConversion"/>
  </si>
  <si>
    <t>0x2e</t>
    <phoneticPr fontId="2" type="noConversion"/>
  </si>
  <si>
    <t>INIT_HDMITX_DTOP_TIMING</t>
    <phoneticPr fontId="2" type="noConversion"/>
  </si>
  <si>
    <t>Description</t>
    <phoneticPr fontId="2" type="noConversion"/>
  </si>
  <si>
    <t>Bank</t>
    <phoneticPr fontId="2" type="noConversion"/>
  </si>
  <si>
    <t>Mask</t>
    <phoneticPr fontId="2" type="noConversion"/>
  </si>
  <si>
    <t>ALL</t>
    <phoneticPr fontId="2" type="noConversion"/>
  </si>
  <si>
    <t>hdmi dtop (pat gen)</t>
    <phoneticPr fontId="2" type="noConversion"/>
  </si>
  <si>
    <t>0x10</t>
    <phoneticPr fontId="2" type="noConversion"/>
  </si>
  <si>
    <t>hdmi dtop (pat gen)</t>
    <phoneticPr fontId="2" type="noConversion"/>
  </si>
  <si>
    <t>h total</t>
    <phoneticPr fontId="2" type="noConversion"/>
  </si>
  <si>
    <t>HDMITX_DTOP</t>
    <phoneticPr fontId="2" type="noConversion"/>
  </si>
  <si>
    <t>0x11</t>
    <phoneticPr fontId="2" type="noConversion"/>
  </si>
  <si>
    <t>hdmi dtop (pat gen)</t>
    <phoneticPr fontId="2" type="noConversion"/>
  </si>
  <si>
    <t>HDMITX_DTOP</t>
    <phoneticPr fontId="2" type="noConversion"/>
  </si>
  <si>
    <t>hs start</t>
    <phoneticPr fontId="2" type="noConversion"/>
  </si>
  <si>
    <t>0x12</t>
    <phoneticPr fontId="2" type="noConversion"/>
  </si>
  <si>
    <t>hs end</t>
    <phoneticPr fontId="2" type="noConversion"/>
  </si>
  <si>
    <t>13 bit</t>
    <phoneticPr fontId="2" type="noConversion"/>
  </si>
  <si>
    <t>0x13</t>
    <phoneticPr fontId="2" type="noConversion"/>
  </si>
  <si>
    <t>0x13</t>
    <phoneticPr fontId="2" type="noConversion"/>
  </si>
  <si>
    <t>vs start</t>
    <phoneticPr fontId="2" type="noConversion"/>
  </si>
  <si>
    <t>0x14</t>
    <phoneticPr fontId="2" type="noConversion"/>
  </si>
  <si>
    <t>vs end</t>
    <phoneticPr fontId="2" type="noConversion"/>
  </si>
  <si>
    <t>13 bit</t>
    <phoneticPr fontId="2" type="noConversion"/>
  </si>
  <si>
    <t>0x15</t>
    <phoneticPr fontId="2" type="noConversion"/>
  </si>
  <si>
    <t>0x15</t>
    <phoneticPr fontId="2" type="noConversion"/>
  </si>
  <si>
    <t>hfde start</t>
    <phoneticPr fontId="2" type="noConversion"/>
  </si>
  <si>
    <t>0x16</t>
    <phoneticPr fontId="2" type="noConversion"/>
  </si>
  <si>
    <t>0x01</t>
    <phoneticPr fontId="2" type="noConversion"/>
  </si>
  <si>
    <t>hfde end</t>
    <phoneticPr fontId="2" type="noConversion"/>
  </si>
  <si>
    <t>0x17</t>
    <phoneticPr fontId="2" type="noConversion"/>
  </si>
  <si>
    <t>0x17</t>
    <phoneticPr fontId="2" type="noConversion"/>
  </si>
  <si>
    <t>vfde start</t>
    <phoneticPr fontId="2" type="noConversion"/>
  </si>
  <si>
    <t>vfde end</t>
    <phoneticPr fontId="2" type="noConversion"/>
  </si>
  <si>
    <t>0x19</t>
    <phoneticPr fontId="2" type="noConversion"/>
  </si>
  <si>
    <t>vfde end</t>
    <phoneticPr fontId="2" type="noConversion"/>
  </si>
  <si>
    <t>Sub IP</t>
    <phoneticPr fontId="2" type="noConversion"/>
  </si>
  <si>
    <t>RegName</t>
    <phoneticPr fontId="2" type="noConversion"/>
  </si>
  <si>
    <t>Byte</t>
    <phoneticPr fontId="2" type="noConversion"/>
  </si>
  <si>
    <t>enable hdmi mode</t>
    <phoneticPr fontId="2" type="noConversion"/>
  </si>
  <si>
    <t>[0]: reg_v_cdi_en</t>
    <phoneticPr fontId="2" type="noConversion"/>
  </si>
  <si>
    <t>enable data island</t>
    <phoneticPr fontId="2" type="noConversion"/>
  </si>
  <si>
    <t>0x2e</t>
    <phoneticPr fontId="2" type="noConversion"/>
  </si>
  <si>
    <t>pkt cnt per data island (include 0)</t>
    <phoneticPr fontId="2" type="noConversion"/>
  </si>
  <si>
    <t>0x09</t>
    <phoneticPr fontId="2" type="noConversion"/>
  </si>
  <si>
    <t>reg_h_di_start</t>
    <phoneticPr fontId="2" type="noConversion"/>
  </si>
  <si>
    <t>0x0A</t>
    <phoneticPr fontId="2" type="noConversion"/>
  </si>
  <si>
    <t>0x0a</t>
    <phoneticPr fontId="2" type="noConversion"/>
  </si>
  <si>
    <t>pkt cnt per data island (include 0)</t>
    <phoneticPr fontId="2" type="noConversion"/>
  </si>
  <si>
    <t>0x0A</t>
    <phoneticPr fontId="2" type="noConversion"/>
  </si>
  <si>
    <t>reg_v_cdi_max_cnt</t>
    <phoneticPr fontId="2" type="noConversion"/>
  </si>
  <si>
    <t>vblanking data island cnt</t>
    <phoneticPr fontId="2" type="noConversion"/>
  </si>
  <si>
    <t>0x0B</t>
    <phoneticPr fontId="2" type="noConversion"/>
  </si>
  <si>
    <t>control period len between
data island</t>
    <phoneticPr fontId="2" type="noConversion"/>
  </si>
  <si>
    <t>0x0B</t>
    <phoneticPr fontId="2" type="noConversion"/>
  </si>
  <si>
    <t>0x07</t>
    <phoneticPr fontId="2" type="noConversion"/>
  </si>
  <si>
    <t>[0]: pkt0, [1]: pkt1, [2]: audio, [3]: acr
[4]: ado, [5]: avi, [6]: gc, [7]: nul</t>
    <phoneticPr fontId="2" type="noConversion"/>
  </si>
  <si>
    <t>packet enable</t>
    <phoneticPr fontId="2" type="noConversion"/>
  </si>
  <si>
    <t>0x1B</t>
    <phoneticPr fontId="2" type="noConversion"/>
  </si>
  <si>
    <t>0x61</t>
    <phoneticPr fontId="2" type="noConversion"/>
  </si>
  <si>
    <t>[8]: pkt2</t>
    <phoneticPr fontId="2" type="noConversion"/>
  </si>
  <si>
    <t>0x1B</t>
    <phoneticPr fontId="2" type="noConversion"/>
  </si>
  <si>
    <t>[1:0]: reg_pfp_te
[3:2]: reg_pfp_te</t>
    <phoneticPr fontId="2" type="noConversion"/>
  </si>
  <si>
    <t>pkt trans set &amp; clr</t>
    <phoneticPr fontId="2" type="noConversion"/>
  </si>
  <si>
    <t>0x1E</t>
    <phoneticPr fontId="2" type="noConversion"/>
  </si>
  <si>
    <t>0x34</t>
    <phoneticPr fontId="2" type="noConversion"/>
  </si>
  <si>
    <t>avi infoFrame</t>
    <phoneticPr fontId="2" type="noConversion"/>
  </si>
  <si>
    <t>0x34</t>
    <phoneticPr fontId="2" type="noConversion"/>
  </si>
  <si>
    <t>0x36</t>
    <phoneticPr fontId="2" type="noConversion"/>
  </si>
  <si>
    <t>0x36</t>
    <phoneticPr fontId="2" type="noConversion"/>
  </si>
  <si>
    <t>hdmi patgen related</t>
    <phoneticPr fontId="2" type="noConversion"/>
  </si>
  <si>
    <t>0x05</t>
    <phoneticPr fontId="2" type="noConversion"/>
  </si>
  <si>
    <t>[15:8]: strip_width</t>
    <phoneticPr fontId="2" type="noConversion"/>
  </si>
  <si>
    <t>hdmi patgen related</t>
    <phoneticPr fontId="2" type="noConversion"/>
  </si>
  <si>
    <t>0x80</t>
    <phoneticPr fontId="2" type="noConversion"/>
  </si>
  <si>
    <t>[0]: reg_pd_n</t>
    <phoneticPr fontId="2" type="noConversion"/>
  </si>
  <si>
    <t>hdmi tx dtop on</t>
    <phoneticPr fontId="2" type="noConversion"/>
  </si>
  <si>
    <t>disp clk gen (common)</t>
    <phoneticPr fontId="2" type="noConversion"/>
  </si>
  <si>
    <t>scaler clk_hdmi enable</t>
    <phoneticPr fontId="2" type="noConversion"/>
  </si>
  <si>
    <t>DISP_GP_CTRL</t>
    <phoneticPr fontId="2" type="noConversion"/>
  </si>
  <si>
    <t>0x35</t>
    <phoneticPr fontId="2" type="noConversion"/>
  </si>
  <si>
    <t>disp clk gen (common)</t>
    <phoneticPr fontId="2" type="noConversion"/>
  </si>
  <si>
    <t>reg_ckg_dac</t>
    <phoneticPr fontId="18" type="noConversion"/>
  </si>
  <si>
    <t>scaler clk_dac enable</t>
    <phoneticPr fontId="2" type="noConversion"/>
  </si>
  <si>
    <t>0x36</t>
    <phoneticPr fontId="2" type="noConversion"/>
  </si>
  <si>
    <t>Panel_End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</si>
  <si>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</si>
  <si>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</si>
  <si>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</si>
  <si>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</si>
  <si>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Sync</t>
    <phoneticPr fontId="2" type="noConversion"/>
  </si>
  <si>
    <t>FPS</t>
    <phoneticPr fontId="2" type="noConversion"/>
  </si>
  <si>
    <t>720_50P</t>
    <phoneticPr fontId="2" type="noConversion"/>
  </si>
  <si>
    <t>720_60P</t>
    <phoneticPr fontId="2" type="noConversion"/>
  </si>
  <si>
    <t>1080_30P</t>
    <phoneticPr fontId="2" type="noConversion"/>
  </si>
  <si>
    <t>1080_50P</t>
    <phoneticPr fontId="2" type="noConversion"/>
  </si>
  <si>
    <t>1080_60P</t>
    <phoneticPr fontId="2" type="noConversion"/>
  </si>
  <si>
    <t>3840x2160_30P</t>
    <phoneticPr fontId="2" type="noConversion"/>
  </si>
  <si>
    <t>1024x768_60P</t>
    <phoneticPr fontId="2" type="noConversion"/>
  </si>
  <si>
    <t>1280x1024_60P</t>
    <phoneticPr fontId="2" type="noConversion"/>
  </si>
  <si>
    <t>1366x768_60P</t>
    <phoneticPr fontId="2" type="noConversion"/>
  </si>
  <si>
    <t>1440x900_60P</t>
    <phoneticPr fontId="2" type="noConversion"/>
  </si>
  <si>
    <t>1280x800_60P</t>
    <phoneticPr fontId="2" type="noConversion"/>
  </si>
  <si>
    <t>1680x1050_60P</t>
    <phoneticPr fontId="2" type="noConversion"/>
  </si>
  <si>
    <t>1600x1200_60P</t>
    <phoneticPr fontId="2" type="noConversion"/>
  </si>
  <si>
    <t>DISP_TOP0</t>
    <phoneticPr fontId="2" type="noConversion"/>
  </si>
  <si>
    <t>2560x1440_30P</t>
    <phoneticPr fontId="2" type="noConversion"/>
  </si>
  <si>
    <t>FrontPorch</t>
    <phoneticPr fontId="2" type="noConversion"/>
  </si>
  <si>
    <t>BackPorch</t>
    <phoneticPr fontId="2" type="noConversion"/>
  </si>
  <si>
    <t>Active</t>
    <phoneticPr fontId="2" type="noConversion"/>
  </si>
  <si>
    <t>Total</t>
    <phoneticPr fontId="2" type="noConversion"/>
  </si>
  <si>
    <t>FPS</t>
    <phoneticPr fontId="2" type="noConversion"/>
  </si>
  <si>
    <t>576_50P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</si>
  <si>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</si>
  <si>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</si>
  <si>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</si>
  <si>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</si>
  <si>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</si>
  <si>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</si>
  <si>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Total</t>
    <phoneticPr fontId="2" type="noConversion"/>
  </si>
  <si>
    <t>FPS</t>
    <phoneticPr fontId="2" type="noConversion"/>
  </si>
  <si>
    <t>1080_24P</t>
    <phoneticPr fontId="2" type="noConversion"/>
  </si>
  <si>
    <t>1080_25P</t>
    <phoneticPr fontId="2" type="noConversion"/>
  </si>
  <si>
    <t>INIT_CLK</t>
  </si>
  <si>
    <t>INIT_CLK</t>
    <phoneticPr fontId="2" type="noConversion"/>
  </si>
  <si>
    <t>INIT_CLK</t>
    <phoneticPr fontId="2" type="noConversion"/>
  </si>
  <si>
    <t>INIT_CLK</t>
    <phoneticPr fontId="2" type="noConversion"/>
  </si>
  <si>
    <t>INIT_CLK</t>
    <phoneticPr fontId="2" type="noConversion"/>
  </si>
  <si>
    <t>INIT_DISP_TOP_SYN_SET</t>
  </si>
  <si>
    <t>INIT_DISP_TOP_SYN_SET</t>
    <phoneticPr fontId="2" type="noConversion"/>
  </si>
  <si>
    <t>INIT_DISP_TOP_SYN_SET</t>
    <phoneticPr fontId="2" type="noConversion"/>
  </si>
  <si>
    <t>INIT_DISP_TOP_SYN_SET</t>
    <phoneticPr fontId="2" type="noConversion"/>
  </si>
  <si>
    <t>INIT_CLK</t>
    <phoneticPr fontId="2" type="noConversion"/>
  </si>
  <si>
    <t>INIT_DISP_TOP_SYN_SET</t>
    <phoneticPr fontId="2" type="noConversion"/>
  </si>
  <si>
    <t>SKIP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</si>
  <si>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</si>
  <si>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</si>
  <si>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</si>
  <si>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</si>
  <si>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</si>
  <si>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</si>
  <si>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FPS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</si>
</sst>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name val="Arial Unicode MS"/>
      <family val="2"/>
      <charset val="128"/>
    </font>
    <font>
      <b/>
      <sz val="14"/>
      <name val="Arial Unicode MS"/>
      <family val="2"/>
      <charset val="128"/>
    </font>
    <font>
      <b/>
      <sz val="12"/>
      <name val="新細明體"/>
      <family val="1"/>
      <charset val="136"/>
    </font>
    <font>
      <b/>
      <sz val="22"/>
      <name val="Arial Narrow"/>
      <family val="2"/>
    </font>
    <font>
      <b/>
      <sz val="16"/>
      <name val="Arial Narrow"/>
      <family val="2"/>
    </font>
    <font>
      <sz val="12"/>
      <name val="Arial Narrow"/>
      <family val="2"/>
    </font>
    <font>
      <u/>
      <sz val="12"/>
      <color indexed="12"/>
      <name val="新細明體"/>
      <family val="1"/>
      <charset val="136"/>
    </font>
    <font>
      <b/>
      <i/>
      <u/>
      <sz val="12"/>
      <color indexed="13"/>
      <name val="Arial Narrow"/>
      <family val="2"/>
    </font>
    <font>
      <b/>
      <i/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22"/>
      <name val="新細明體"/>
      <family val="1"/>
      <charset val="136"/>
    </font>
    <font>
      <b/>
      <sz val="12"/>
      <name val="新細明體"/>
      <family val="1"/>
      <charset val="136"/>
      <scheme val="major"/>
    </font>
    <font>
      <sz val="12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9"/>
      <name val="細明體"/>
      <family val="3"/>
      <charset val="136"/>
    </font>
    <font>
      <sz val="12"/>
      <color rgb="FFFF0000"/>
      <name val="Arial Narrow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</cellStyleXfs>
  <cellXfs count="75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Fill="1" applyBorder="1">
      <alignment vertical="center"/>
    </xf>
    <xf numFmtId="0" fontId="1" fillId="0" borderId="0" xfId="0" applyFont="1" applyBorder="1">
      <alignment vertical="center"/>
    </xf>
    <xf numFmtId="0" fontId="5" fillId="9" borderId="0" xfId="0" applyFont="1" applyFill="1">
      <alignment vertical="center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12" fillId="7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1" xfId="0" applyFont="1" applyFill="1" applyBorder="1">
      <alignment vertical="center"/>
    </xf>
    <xf numFmtId="0" fontId="13" fillId="0" borderId="1" xfId="0" applyFont="1" applyFill="1" applyBorder="1">
      <alignment vertical="center"/>
    </xf>
    <xf numFmtId="0" fontId="5" fillId="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11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Alignment="1">
      <alignment vertical="center" shrinkToFit="1"/>
    </xf>
    <xf numFmtId="0" fontId="10" fillId="0" borderId="2" xfId="1" applyFont="1" applyFill="1" applyBorder="1" applyAlignment="1" applyProtection="1">
      <alignment horizontal="center" vertical="center"/>
    </xf>
    <xf numFmtId="0" fontId="10" fillId="0" borderId="3" xfId="1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8" fillId="0" borderId="0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8" fillId="0" borderId="5" xfId="0" applyFont="1" applyFill="1" applyBorder="1">
      <alignment vertical="center"/>
    </xf>
    <xf numFmtId="0" fontId="13" fillId="0" borderId="5" xfId="0" applyFont="1" applyFill="1" applyBorder="1">
      <alignment vertical="center"/>
    </xf>
    <xf numFmtId="0" fontId="8" fillId="0" borderId="5" xfId="0" applyFont="1" applyFill="1" applyBorder="1" applyAlignment="1">
      <alignment horizontal="center" vertical="center"/>
    </xf>
    <xf numFmtId="0" fontId="12" fillId="7" borderId="5" xfId="0" applyNumberFormat="1" applyFont="1" applyFill="1" applyBorder="1" applyAlignment="1" applyProtection="1">
      <alignment horizontal="center" vertical="center"/>
    </xf>
    <xf numFmtId="0" fontId="10" fillId="0" borderId="1" xfId="1" applyFont="1" applyFill="1" applyBorder="1" applyAlignment="1" applyProtection="1">
      <alignment horizontal="center" vertical="center"/>
    </xf>
    <xf numFmtId="0" fontId="19" fillId="0" borderId="1" xfId="0" applyFont="1" applyFill="1" applyBorder="1">
      <alignment vertical="center"/>
    </xf>
    <xf numFmtId="0" fontId="19" fillId="0" borderId="5" xfId="0" applyFont="1" applyFill="1" applyBorder="1">
      <alignment vertical="center"/>
    </xf>
    <xf numFmtId="0" fontId="0" fillId="12" borderId="1" xfId="0" applyFill="1" applyBorder="1" applyAlignment="1">
      <alignment horizontal="center" vertical="center"/>
    </xf>
    <xf numFmtId="0" fontId="19" fillId="0" borderId="0" xfId="0" applyFont="1" applyFill="1" applyBorder="1">
      <alignment vertical="center"/>
    </xf>
    <xf numFmtId="0" fontId="5" fillId="2" borderId="0" xfId="0" applyFon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14" fillId="0" borderId="1" xfId="0" applyFont="1" applyFill="1" applyBorder="1" applyAlignment="1">
      <alignment horizontal="left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28575</xdr:rowOff>
        </xdr:from>
        <xdr:to>
          <xdr:col>1</xdr:col>
          <xdr:colOff>1209675</xdr:colOff>
          <xdr:row>0</xdr:row>
          <xdr:rowOff>361950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9"/>
  <sheetViews>
    <sheetView tabSelected="1" zoomScale="80" workbookViewId="0">
      <selection activeCell="R17" sqref="R17"/>
    </sheetView>
  </sheetViews>
  <sheetFormatPr defaultRowHeight="16.5" x14ac:dyDescent="0.25"/>
  <cols>
    <col min="1" max="1" width="30.375" customWidth="1"/>
    <col min="2" max="2" width="20" customWidth="1"/>
    <col min="3" max="3" width="12.75" customWidth="1"/>
    <col min="8" max="8" width="2.125" customWidth="1"/>
    <col min="10" max="10" width="15.375" customWidth="1"/>
    <col min="13" max="13" width="13.75" bestFit="1" customWidth="1"/>
    <col min="15" max="15" width="18.75" bestFit="1" customWidth="1"/>
    <col min="16" max="16" width="17" customWidth="1"/>
    <col min="17" max="17" width="15.25" bestFit="1" customWidth="1"/>
    <col min="18" max="18" width="11.5" bestFit="1" customWidth="1"/>
  </cols>
  <sheetData>
    <row r="1" spans="1:16" ht="35.25" customHeight="1" x14ac:dyDescent="0.25">
      <c r="A1" s="12" t="s">
        <v>307</v>
      </c>
      <c r="B1" s="11"/>
      <c r="E1" s="70" t="s">
        <v>9</v>
      </c>
      <c r="F1" s="70"/>
      <c r="G1" s="10" t="s">
        <v>8</v>
      </c>
      <c r="I1" s="70" t="s">
        <v>7</v>
      </c>
      <c r="J1" s="70"/>
      <c r="K1" s="10" t="s">
        <v>21</v>
      </c>
      <c r="M1" s="9" t="s">
        <v>6</v>
      </c>
      <c r="O1" s="33" t="s">
        <v>23</v>
      </c>
      <c r="P1" s="34" t="s">
        <v>253</v>
      </c>
    </row>
    <row r="2" spans="1:16" x14ac:dyDescent="0.25">
      <c r="A2" s="8"/>
      <c r="B2" s="8"/>
      <c r="C2" s="8"/>
      <c r="D2" s="7"/>
      <c r="O2" s="33" t="s">
        <v>25</v>
      </c>
      <c r="P2" s="34" t="s">
        <v>34</v>
      </c>
    </row>
    <row r="3" spans="1:16" s="1" customFormat="1" ht="20.25" x14ac:dyDescent="0.25">
      <c r="A3" s="2" t="s">
        <v>5</v>
      </c>
      <c r="B3" s="2" t="s">
        <v>4</v>
      </c>
      <c r="C3" s="2" t="s">
        <v>3</v>
      </c>
      <c r="O3" s="36" t="s">
        <v>26</v>
      </c>
      <c r="P3" s="35" t="s">
        <v>42</v>
      </c>
    </row>
    <row r="4" spans="1:16" s="1" customFormat="1" ht="20.25" x14ac:dyDescent="0.25">
      <c r="A4" s="6" t="s">
        <v>36</v>
      </c>
      <c r="B4" s="5" t="s">
        <v>285</v>
      </c>
      <c r="C4" s="4" t="s">
        <v>2</v>
      </c>
      <c r="D4" s="3" t="s">
        <v>1</v>
      </c>
    </row>
    <row r="5" spans="1:16" s="1" customFormat="1" ht="20.25" x14ac:dyDescent="0.25">
      <c r="A5" s="6" t="s">
        <v>37</v>
      </c>
      <c r="B5" s="5" t="s">
        <v>286</v>
      </c>
      <c r="C5" s="4" t="s">
        <v>2</v>
      </c>
      <c r="D5" s="3" t="s">
        <v>1</v>
      </c>
    </row>
    <row r="6" spans="1:16" s="1" customFormat="1" ht="20.25" x14ac:dyDescent="0.25">
      <c r="A6" s="6" t="s">
        <v>550</v>
      </c>
      <c r="B6" s="5" t="s">
        <v>287</v>
      </c>
      <c r="C6" s="4" t="s">
        <v>2</v>
      </c>
      <c r="D6" s="3" t="s">
        <v>1</v>
      </c>
    </row>
    <row r="7" spans="1:16" s="1" customFormat="1" ht="20.25" x14ac:dyDescent="0.25">
      <c r="A7" s="6" t="s">
        <v>288</v>
      </c>
      <c r="B7" s="5" t="s">
        <v>289</v>
      </c>
      <c r="C7" s="4" t="s">
        <v>2</v>
      </c>
      <c r="D7" s="3" t="s">
        <v>1</v>
      </c>
    </row>
    <row r="8" spans="1:16" s="1" customFormat="1" ht="20.25" x14ac:dyDescent="0.25">
      <c r="A8" s="6" t="s">
        <v>105</v>
      </c>
      <c r="B8" s="5" t="s">
        <v>231</v>
      </c>
      <c r="C8" s="4" t="s">
        <v>2</v>
      </c>
      <c r="D8" s="3" t="s">
        <v>232</v>
      </c>
    </row>
    <row r="9" spans="1:16" s="1" customFormat="1" ht="20.25" x14ac:dyDescent="0.25">
      <c r="A9" s="2" t="s">
        <v>0</v>
      </c>
    </row>
  </sheetData>
  <mergeCells count="2">
    <mergeCell ref="E1:F1"/>
    <mergeCell ref="I1:J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28575</xdr:rowOff>
              </from>
              <to>
                <xdr:col>1</xdr:col>
                <xdr:colOff>1209675</xdr:colOff>
                <xdr:row>0</xdr:row>
                <xdr:rowOff>361950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U103"/>
  <sheetViews>
    <sheetView topLeftCell="A31" zoomScale="115" zoomScaleNormal="115" workbookViewId="0">
      <selection activeCell="A47" sqref="A47:C47"/>
    </sheetView>
  </sheetViews>
  <sheetFormatPr defaultRowHeight="16.5" x14ac:dyDescent="0.25"/>
  <cols>
    <col min="1" max="1" width="24.125" customWidth="1"/>
    <col min="2" max="2" width="30.7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569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71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73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79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79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79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82</v>
      </c>
      <c r="G27" s="24" t="s">
        <v>41</v>
      </c>
      <c r="H27" s="21" t="s">
        <v>33</v>
      </c>
      <c r="I27" s="21" t="s">
        <v>83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79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87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97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96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101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50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31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129</v>
      </c>
      <c r="K42" s="37"/>
      <c r="L42" s="37"/>
    </row>
    <row r="43" spans="1:12" s="20" customFormat="1" x14ac:dyDescent="0.25">
      <c r="A43" s="31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31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134</v>
      </c>
      <c r="K44" s="37"/>
      <c r="L44" s="37"/>
    </row>
    <row r="45" spans="1:12" s="20" customFormat="1" x14ac:dyDescent="0.25">
      <c r="A45" s="53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53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574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1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40</v>
      </c>
      <c r="K49" s="37"/>
      <c r="L49" s="37"/>
    </row>
    <row r="50" spans="1:16" s="20" customFormat="1" x14ac:dyDescent="0.25">
      <c r="A50" s="31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40</v>
      </c>
      <c r="K50" s="37"/>
      <c r="L50" s="37"/>
    </row>
    <row r="51" spans="1:16" s="20" customFormat="1" x14ac:dyDescent="0.25">
      <c r="A51" s="31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117</v>
      </c>
      <c r="K51" s="37"/>
      <c r="L51" s="37"/>
    </row>
    <row r="52" spans="1:16" s="20" customFormat="1" x14ac:dyDescent="0.25">
      <c r="A52" s="53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53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235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31" t="s">
        <v>143</v>
      </c>
      <c r="B56" s="32" t="s">
        <v>158</v>
      </c>
      <c r="C56" s="32" t="s">
        <v>159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0x59</v>
      </c>
      <c r="J56" s="20" t="str">
        <f>DEC2HEX(MOD(K56,256))</f>
        <v>59</v>
      </c>
      <c r="K56" s="37">
        <f>P58-1</f>
        <v>857</v>
      </c>
      <c r="L56" s="71" t="s">
        <v>294</v>
      </c>
      <c r="M56" s="71"/>
      <c r="N56" s="71"/>
      <c r="O56" s="71"/>
      <c r="P56" s="71"/>
    </row>
    <row r="57" spans="1:16" s="20" customFormat="1" x14ac:dyDescent="0.25">
      <c r="A57" s="31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144</v>
      </c>
      <c r="G57" s="24" t="s">
        <v>41</v>
      </c>
      <c r="H57" s="21" t="s">
        <v>33</v>
      </c>
      <c r="I57" s="21" t="str">
        <f t="shared" ref="I57:I75" si="0">"0x"&amp;TEXT(J57,"00")</f>
        <v>0x03</v>
      </c>
      <c r="J57" s="20" t="str">
        <f>DEC2HEX((K56-MOD(K56,256))/256)</f>
        <v>3</v>
      </c>
      <c r="K57" s="37"/>
      <c r="L57" s="68" t="s">
        <v>295</v>
      </c>
      <c r="M57" s="68" t="s">
        <v>297</v>
      </c>
      <c r="N57" s="68" t="s">
        <v>299</v>
      </c>
      <c r="O57" s="68" t="s">
        <v>301</v>
      </c>
      <c r="P57" s="68" t="s">
        <v>302</v>
      </c>
    </row>
    <row r="58" spans="1:16" s="20" customFormat="1" x14ac:dyDescent="0.25">
      <c r="A58" s="31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0xC</v>
      </c>
      <c r="J58" s="20" t="str">
        <f>DEC2HEX(MOD(K58,256))</f>
        <v>C</v>
      </c>
      <c r="K58" s="37">
        <f>P61-1</f>
        <v>524</v>
      </c>
      <c r="L58" s="59">
        <v>62</v>
      </c>
      <c r="M58" s="59">
        <v>60</v>
      </c>
      <c r="N58" s="59">
        <v>720</v>
      </c>
      <c r="O58" s="59">
        <f>P58-N58-M58-L58</f>
        <v>16</v>
      </c>
      <c r="P58" s="59">
        <v>858</v>
      </c>
    </row>
    <row r="59" spans="1:16" s="20" customFormat="1" x14ac:dyDescent="0.25">
      <c r="A59" s="31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0x02</v>
      </c>
      <c r="J59" s="20" t="str">
        <f>DEC2HEX((K58-MOD(K58,256))/256)</f>
        <v>2</v>
      </c>
      <c r="K59" s="37"/>
      <c r="L59" s="71" t="s">
        <v>303</v>
      </c>
      <c r="M59" s="71"/>
      <c r="N59" s="71"/>
      <c r="O59" s="71"/>
      <c r="P59" s="71"/>
    </row>
    <row r="60" spans="1:16" s="20" customFormat="1" x14ac:dyDescent="0.25">
      <c r="A60" s="31" t="s">
        <v>143</v>
      </c>
      <c r="B60" s="32" t="s">
        <v>161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304</v>
      </c>
      <c r="M60" s="68" t="s">
        <v>296</v>
      </c>
      <c r="N60" s="68" t="s">
        <v>299</v>
      </c>
      <c r="O60" s="68" t="s">
        <v>300</v>
      </c>
      <c r="P60" s="68" t="s">
        <v>302</v>
      </c>
    </row>
    <row r="61" spans="1:16" s="20" customFormat="1" x14ac:dyDescent="0.25">
      <c r="A61" s="31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6</v>
      </c>
      <c r="M61" s="59">
        <v>30</v>
      </c>
      <c r="N61" s="59">
        <v>480</v>
      </c>
      <c r="O61" s="59">
        <f>P61-N61-M61-L61</f>
        <v>9</v>
      </c>
      <c r="P61" s="59">
        <v>525</v>
      </c>
    </row>
    <row r="62" spans="1:16" s="20" customFormat="1" x14ac:dyDescent="0.25">
      <c r="A62" s="31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0x3D</v>
      </c>
      <c r="J62" s="20" t="str">
        <f>DEC2HEX(MOD(K62,256))</f>
        <v>3D</v>
      </c>
      <c r="K62" s="37">
        <f>L58-1</f>
        <v>61</v>
      </c>
      <c r="L62" s="71" t="s">
        <v>306</v>
      </c>
      <c r="M62" s="71"/>
      <c r="N62" s="71"/>
      <c r="O62" s="71"/>
      <c r="P62" s="71"/>
    </row>
    <row r="63" spans="1:16" s="20" customFormat="1" x14ac:dyDescent="0.25">
      <c r="A63" s="31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60</v>
      </c>
      <c r="M63" s="72"/>
      <c r="N63" s="72"/>
      <c r="O63" s="72"/>
      <c r="P63" s="72"/>
    </row>
    <row r="64" spans="1:16" s="20" customFormat="1" x14ac:dyDescent="0.25">
      <c r="A64" s="31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148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31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31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0x05</v>
      </c>
      <c r="J66" s="20" t="str">
        <f>DEC2HEX(MOD(K66,256))</f>
        <v>5</v>
      </c>
      <c r="K66" s="37">
        <f>L61-1</f>
        <v>5</v>
      </c>
      <c r="L66" s="37"/>
    </row>
    <row r="67" spans="1:12" s="20" customFormat="1" x14ac:dyDescent="0.25">
      <c r="A67" s="31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31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0x7A</v>
      </c>
      <c r="J68" s="20" t="str">
        <f>DEC2HEX(MOD(K68,256))</f>
        <v>7A</v>
      </c>
      <c r="K68" s="37">
        <f>L58+M58</f>
        <v>122</v>
      </c>
      <c r="L68" s="37"/>
    </row>
    <row r="69" spans="1:12" s="20" customFormat="1" x14ac:dyDescent="0.25">
      <c r="A69" s="31" t="s">
        <v>143</v>
      </c>
      <c r="B69" s="32" t="s">
        <v>169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0x00</v>
      </c>
      <c r="J69" s="20" t="str">
        <f>DEC2HEX((K68-MOD(K68,256))/256)</f>
        <v>0</v>
      </c>
      <c r="K69" s="37"/>
      <c r="L69" s="37"/>
    </row>
    <row r="70" spans="1:12" s="20" customFormat="1" x14ac:dyDescent="0.25">
      <c r="A70" s="31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0x49</v>
      </c>
      <c r="J70" s="20" t="str">
        <f>DEC2HEX(MOD(K70,256))</f>
        <v>49</v>
      </c>
      <c r="K70" s="37">
        <f>L58+M58+N58-1</f>
        <v>841</v>
      </c>
      <c r="L70" s="37"/>
    </row>
    <row r="71" spans="1:12" s="20" customFormat="1" x14ac:dyDescent="0.25">
      <c r="A71" s="31" t="s">
        <v>143</v>
      </c>
      <c r="B71" s="32" t="s">
        <v>171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0x03</v>
      </c>
      <c r="J71" s="20" t="str">
        <f>DEC2HEX((K70-MOD(K70,256))/256)</f>
        <v>3</v>
      </c>
      <c r="K71" s="37"/>
      <c r="L71" s="37"/>
    </row>
    <row r="72" spans="1:12" s="20" customFormat="1" x14ac:dyDescent="0.25">
      <c r="A72" s="31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0x24</v>
      </c>
      <c r="J72" s="20" t="str">
        <f>DEC2HEX(MOD(K72,256))</f>
        <v>24</v>
      </c>
      <c r="K72" s="37">
        <f>L61+M61</f>
        <v>36</v>
      </c>
      <c r="L72" s="37"/>
    </row>
    <row r="73" spans="1:12" s="20" customFormat="1" x14ac:dyDescent="0.25">
      <c r="A73" s="31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31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0x03</v>
      </c>
      <c r="J74" s="20" t="str">
        <f>DEC2HEX(MOD(K74,256))</f>
        <v>3</v>
      </c>
      <c r="K74" s="37">
        <f>L61+M61+N61-1</f>
        <v>515</v>
      </c>
      <c r="L74" s="37"/>
    </row>
    <row r="75" spans="1:12" s="20" customFormat="1" x14ac:dyDescent="0.25">
      <c r="A75" s="31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0x02</v>
      </c>
      <c r="J75" s="20" t="str">
        <f>DEC2HEX((K74-MOD(K74,256))/256)</f>
        <v>2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234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31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210</v>
      </c>
      <c r="K91" s="37"/>
      <c r="L91" s="37"/>
    </row>
    <row r="92" spans="1:12" s="20" customFormat="1" x14ac:dyDescent="0.25">
      <c r="A92" s="31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31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31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213</v>
      </c>
      <c r="G95" s="22" t="s">
        <v>39</v>
      </c>
      <c r="H95" s="21" t="s">
        <v>33</v>
      </c>
      <c r="I95" s="21" t="s">
        <v>217</v>
      </c>
      <c r="K95" s="37"/>
      <c r="L95" s="37"/>
    </row>
    <row r="96" spans="1:12" s="20" customFormat="1" x14ac:dyDescent="0.25">
      <c r="A96" s="31" t="s">
        <v>143</v>
      </c>
      <c r="B96" s="32" t="s">
        <v>258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292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3 I45:I46 I8:I44 I49:I53" name="範圍1_3_3_1_1_1_2_1_1_2"/>
    <protectedRange password="EBC5" sqref="I76:I77" name="範圍1_3_3_1_1_1_2_1_1_2_1"/>
    <protectedRange password="EBC5" sqref="I80:I97" name="範圍1_3_3_1_1_1_2_1_1_2_2"/>
    <protectedRange password="EBC5" sqref="I56:I75" name="範圍1_3_3_1_1_1_2_1_1_2_1_2"/>
  </protectedRanges>
  <mergeCells count="10">
    <mergeCell ref="D102:G102"/>
    <mergeCell ref="A54:C54"/>
    <mergeCell ref="A78:C78"/>
    <mergeCell ref="L56:P56"/>
    <mergeCell ref="L59:P59"/>
    <mergeCell ref="L62:P62"/>
    <mergeCell ref="L63:P63"/>
    <mergeCell ref="A1:C1"/>
    <mergeCell ref="A47:C47"/>
    <mergeCell ref="A6:C6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FF00"/>
  </sheetPr>
  <dimension ref="A1:U103"/>
  <sheetViews>
    <sheetView zoomScale="115" zoomScaleNormal="115" workbookViewId="0">
      <selection activeCell="A47" sqref="A47:C47"/>
    </sheetView>
  </sheetViews>
  <sheetFormatPr defaultRowHeight="16.5" x14ac:dyDescent="0.25"/>
  <cols>
    <col min="1" max="1" width="24.125" customWidth="1"/>
    <col min="2" max="2" width="30.7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s="20" customFormat="1" ht="27" x14ac:dyDescent="0.25">
      <c r="A1" s="73" t="s">
        <v>569</v>
      </c>
      <c r="B1" s="73"/>
      <c r="C1" s="73"/>
      <c r="D1" s="46"/>
      <c r="E1" s="47"/>
      <c r="F1" s="48"/>
      <c r="G1" s="48"/>
      <c r="H1" s="49"/>
      <c r="I1" s="13" t="s">
        <v>28</v>
      </c>
      <c r="J1" s="37"/>
      <c r="K1" s="37"/>
      <c r="L1" s="37"/>
    </row>
    <row r="2" spans="1:12" s="20" customFormat="1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  <c r="J2" s="37"/>
      <c r="K2" s="37"/>
      <c r="L2" s="37"/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s="20" customFormat="1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  <c r="J6" s="37"/>
      <c r="K6" s="37"/>
      <c r="L6" s="37"/>
    </row>
    <row r="7" spans="1:12" s="20" customFormat="1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  <c r="J7" s="37"/>
      <c r="K7" s="37"/>
      <c r="L7" s="37"/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50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31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31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31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133</v>
      </c>
      <c r="K44" s="37"/>
      <c r="L44" s="37"/>
    </row>
    <row r="45" spans="1:12" s="20" customFormat="1" x14ac:dyDescent="0.25">
      <c r="A45" s="53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53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576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1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40</v>
      </c>
      <c r="K49" s="37"/>
      <c r="L49" s="37"/>
    </row>
    <row r="50" spans="1:16" s="20" customFormat="1" x14ac:dyDescent="0.25">
      <c r="A50" s="31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114</v>
      </c>
      <c r="G50" s="24" t="s">
        <v>41</v>
      </c>
      <c r="H50" s="21" t="s">
        <v>33</v>
      </c>
      <c r="I50" s="21" t="s">
        <v>40</v>
      </c>
      <c r="K50" s="37"/>
      <c r="L50" s="37"/>
    </row>
    <row r="51" spans="1:16" s="20" customFormat="1" x14ac:dyDescent="0.25">
      <c r="A51" s="31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117</v>
      </c>
      <c r="K51" s="37"/>
      <c r="L51" s="37"/>
    </row>
    <row r="52" spans="1:16" s="20" customFormat="1" x14ac:dyDescent="0.25">
      <c r="A52" s="53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53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235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31" t="s">
        <v>143</v>
      </c>
      <c r="B56" s="32" t="s">
        <v>158</v>
      </c>
      <c r="C56" s="32" t="s">
        <v>155</v>
      </c>
      <c r="D56" s="21" t="s">
        <v>37</v>
      </c>
      <c r="E56" s="21" t="s">
        <v>38</v>
      </c>
      <c r="F56" s="21" t="s">
        <v>114</v>
      </c>
      <c r="G56" s="22" t="s">
        <v>39</v>
      </c>
      <c r="H56" s="21" t="s">
        <v>33</v>
      </c>
      <c r="I56" s="21" t="str">
        <f>"0x"&amp;TEXT(J56,"00")</f>
        <v>0x5F</v>
      </c>
      <c r="J56" s="20" t="str">
        <f>DEC2HEX(MOD(K56,256))</f>
        <v>5F</v>
      </c>
      <c r="K56" s="37">
        <f>P58-1</f>
        <v>863</v>
      </c>
      <c r="L56" s="71" t="s">
        <v>41</v>
      </c>
      <c r="M56" s="71"/>
      <c r="N56" s="71"/>
      <c r="O56" s="71"/>
      <c r="P56" s="71"/>
    </row>
    <row r="57" spans="1:16" s="20" customFormat="1" x14ac:dyDescent="0.25">
      <c r="A57" s="31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0x03</v>
      </c>
      <c r="J57" s="20" t="str">
        <f>DEC2HEX((K56-MOD(K56,256))/256)</f>
        <v>3</v>
      </c>
      <c r="K57" s="37"/>
      <c r="L57" s="68" t="s">
        <v>535</v>
      </c>
      <c r="M57" s="68" t="s">
        <v>296</v>
      </c>
      <c r="N57" s="68" t="s">
        <v>534</v>
      </c>
      <c r="O57" s="68" t="s">
        <v>552</v>
      </c>
      <c r="P57" s="68" t="s">
        <v>302</v>
      </c>
    </row>
    <row r="58" spans="1:16" s="20" customFormat="1" x14ac:dyDescent="0.25">
      <c r="A58" s="31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0x70</v>
      </c>
      <c r="J58" s="20" t="str">
        <f>DEC2HEX(MOD(K58,256))</f>
        <v>70</v>
      </c>
      <c r="K58" s="37">
        <f>P61-1</f>
        <v>624</v>
      </c>
      <c r="L58" s="59">
        <v>64</v>
      </c>
      <c r="M58" s="59">
        <v>68</v>
      </c>
      <c r="N58" s="59">
        <v>720</v>
      </c>
      <c r="O58" s="59">
        <f>P58-N58-M58-L58</f>
        <v>12</v>
      </c>
      <c r="P58" s="59">
        <v>864</v>
      </c>
    </row>
    <row r="59" spans="1:16" s="20" customFormat="1" x14ac:dyDescent="0.25">
      <c r="A59" s="31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116</v>
      </c>
      <c r="G59" s="24" t="s">
        <v>41</v>
      </c>
      <c r="H59" s="21" t="s">
        <v>33</v>
      </c>
      <c r="I59" s="21" t="str">
        <f t="shared" si="0"/>
        <v>0x02</v>
      </c>
      <c r="J59" s="20" t="str">
        <f>DEC2HEX((K58-MOD(K58,256))/256)</f>
        <v>2</v>
      </c>
      <c r="K59" s="37"/>
      <c r="L59" s="71" t="s">
        <v>303</v>
      </c>
      <c r="M59" s="71"/>
      <c r="N59" s="71"/>
      <c r="O59" s="71"/>
      <c r="P59" s="71"/>
    </row>
    <row r="60" spans="1:16" s="20" customFormat="1" x14ac:dyDescent="0.25">
      <c r="A60" s="31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535</v>
      </c>
      <c r="M60" s="68" t="s">
        <v>553</v>
      </c>
      <c r="N60" s="68" t="s">
        <v>554</v>
      </c>
      <c r="O60" s="68" t="s">
        <v>552</v>
      </c>
      <c r="P60" s="68" t="s">
        <v>555</v>
      </c>
    </row>
    <row r="61" spans="1:16" s="20" customFormat="1" x14ac:dyDescent="0.25">
      <c r="A61" s="31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5</v>
      </c>
      <c r="M61" s="59">
        <v>39</v>
      </c>
      <c r="N61" s="59">
        <v>576</v>
      </c>
      <c r="O61" s="59">
        <f>P61-N61-M61-L61</f>
        <v>5</v>
      </c>
      <c r="P61" s="59">
        <v>625</v>
      </c>
    </row>
    <row r="62" spans="1:16" s="20" customFormat="1" x14ac:dyDescent="0.25">
      <c r="A62" s="31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133</v>
      </c>
      <c r="G62" s="22" t="s">
        <v>39</v>
      </c>
      <c r="H62" s="21" t="s">
        <v>33</v>
      </c>
      <c r="I62" s="21" t="str">
        <f t="shared" si="0"/>
        <v>0x3F</v>
      </c>
      <c r="J62" s="20" t="str">
        <f>DEC2HEX(MOD(K62,256))</f>
        <v>3F</v>
      </c>
      <c r="K62" s="37">
        <f>L58-1</f>
        <v>63</v>
      </c>
      <c r="L62" s="71" t="s">
        <v>556</v>
      </c>
      <c r="M62" s="71"/>
      <c r="N62" s="71"/>
      <c r="O62" s="71"/>
      <c r="P62" s="71"/>
    </row>
    <row r="63" spans="1:16" s="20" customFormat="1" x14ac:dyDescent="0.25">
      <c r="A63" s="31" t="s">
        <v>143</v>
      </c>
      <c r="B63" s="32" t="s">
        <v>162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50</v>
      </c>
      <c r="M63" s="72"/>
      <c r="N63" s="72"/>
      <c r="O63" s="72"/>
      <c r="P63" s="72"/>
    </row>
    <row r="64" spans="1:16" s="20" customFormat="1" x14ac:dyDescent="0.25">
      <c r="A64" s="31" t="s">
        <v>143</v>
      </c>
      <c r="B64" s="32" t="s">
        <v>164</v>
      </c>
      <c r="C64" s="32" t="s">
        <v>155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31" t="s">
        <v>143</v>
      </c>
      <c r="B65" s="32" t="s">
        <v>164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31" t="s">
        <v>143</v>
      </c>
      <c r="B66" s="32" t="s">
        <v>166</v>
      </c>
      <c r="C66" s="32" t="s">
        <v>155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0x04</v>
      </c>
      <c r="J66" s="20" t="str">
        <f>DEC2HEX(MOD(K66,256))</f>
        <v>4</v>
      </c>
      <c r="K66" s="37">
        <f>L61-1</f>
        <v>4</v>
      </c>
      <c r="L66" s="37"/>
    </row>
    <row r="67" spans="1:12" s="20" customFormat="1" x14ac:dyDescent="0.25">
      <c r="A67" s="31" t="s">
        <v>143</v>
      </c>
      <c r="B67" s="32" t="s">
        <v>166</v>
      </c>
      <c r="C67" s="32"/>
      <c r="D67" s="21" t="s">
        <v>37</v>
      </c>
      <c r="E67" s="21" t="s">
        <v>38</v>
      </c>
      <c r="F67" s="21" t="s">
        <v>149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31" t="s">
        <v>143</v>
      </c>
      <c r="B68" s="32" t="s">
        <v>168</v>
      </c>
      <c r="C68" s="32" t="s">
        <v>155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0x84</v>
      </c>
      <c r="J68" s="20" t="str">
        <f>DEC2HEX(MOD(K68,256))</f>
        <v>84</v>
      </c>
      <c r="K68" s="37">
        <f>L58+M58</f>
        <v>132</v>
      </c>
      <c r="L68" s="37"/>
    </row>
    <row r="69" spans="1:12" s="20" customFormat="1" x14ac:dyDescent="0.25">
      <c r="A69" s="31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0x00</v>
      </c>
      <c r="J69" s="20" t="str">
        <f>DEC2HEX((K68-MOD(K68,256))/256)</f>
        <v>0</v>
      </c>
      <c r="K69" s="37"/>
      <c r="L69" s="37"/>
    </row>
    <row r="70" spans="1:12" s="20" customFormat="1" x14ac:dyDescent="0.25">
      <c r="A70" s="31" t="s">
        <v>143</v>
      </c>
      <c r="B70" s="32" t="s">
        <v>170</v>
      </c>
      <c r="C70" s="32" t="s">
        <v>155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0x53</v>
      </c>
      <c r="J70" s="20" t="str">
        <f>DEC2HEX(MOD(K70,256))</f>
        <v>53</v>
      </c>
      <c r="K70" s="37">
        <f>L58+M58+N58-1</f>
        <v>851</v>
      </c>
      <c r="L70" s="37"/>
    </row>
    <row r="71" spans="1:12" s="20" customFormat="1" x14ac:dyDescent="0.25">
      <c r="A71" s="31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51</v>
      </c>
      <c r="G71" s="24" t="s">
        <v>41</v>
      </c>
      <c r="H71" s="21" t="s">
        <v>33</v>
      </c>
      <c r="I71" s="21" t="str">
        <f t="shared" si="0"/>
        <v>0x03</v>
      </c>
      <c r="J71" s="20" t="str">
        <f>DEC2HEX((K70-MOD(K70,256))/256)</f>
        <v>3</v>
      </c>
      <c r="K71" s="37"/>
      <c r="L71" s="37"/>
    </row>
    <row r="72" spans="1:12" s="20" customFormat="1" x14ac:dyDescent="0.25">
      <c r="A72" s="31" t="s">
        <v>143</v>
      </c>
      <c r="B72" s="32" t="s">
        <v>172</v>
      </c>
      <c r="C72" s="32" t="s">
        <v>155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0x2C</v>
      </c>
      <c r="J72" s="20" t="str">
        <f>DEC2HEX(MOD(K72,256))</f>
        <v>2C</v>
      </c>
      <c r="K72" s="37">
        <f>L61+M61</f>
        <v>44</v>
      </c>
      <c r="L72" s="37"/>
    </row>
    <row r="73" spans="1:12" s="20" customFormat="1" x14ac:dyDescent="0.25">
      <c r="A73" s="31" t="s">
        <v>143</v>
      </c>
      <c r="B73" s="32" t="s">
        <v>172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31" t="s">
        <v>143</v>
      </c>
      <c r="B74" s="32" t="s">
        <v>174</v>
      </c>
      <c r="C74" s="32" t="s">
        <v>155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0x6B</v>
      </c>
      <c r="J74" s="20" t="str">
        <f>DEC2HEX(MOD(K74,256))</f>
        <v>6B</v>
      </c>
      <c r="K74" s="37">
        <f>L61+M61+N61-1</f>
        <v>619</v>
      </c>
      <c r="L74" s="37"/>
    </row>
    <row r="75" spans="1:12" s="20" customFormat="1" x14ac:dyDescent="0.25">
      <c r="A75" s="31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153</v>
      </c>
      <c r="G75" s="24" t="s">
        <v>41</v>
      </c>
      <c r="H75" s="21" t="s">
        <v>33</v>
      </c>
      <c r="I75" s="21" t="str">
        <f t="shared" si="0"/>
        <v>0x02</v>
      </c>
      <c r="J75" s="20" t="str">
        <f>DEC2HEX((K74-MOD(K74,256))/256)</f>
        <v>2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52</v>
      </c>
      <c r="G81" s="22" t="s">
        <v>39</v>
      </c>
      <c r="H81" s="21" t="s">
        <v>33</v>
      </c>
      <c r="I81" s="21" t="s">
        <v>58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183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118</v>
      </c>
      <c r="K90" s="37"/>
      <c r="L90" s="37"/>
    </row>
    <row r="91" spans="1:12" s="20" customFormat="1" x14ac:dyDescent="0.25">
      <c r="A91" s="31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210</v>
      </c>
      <c r="K91" s="37"/>
      <c r="L91" s="37"/>
    </row>
    <row r="92" spans="1:12" s="20" customFormat="1" x14ac:dyDescent="0.25">
      <c r="A92" s="31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31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142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31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142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123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288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288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s="20" customFormat="1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J102" s="37"/>
    </row>
    <row r="103" spans="1:12" s="20" customFormat="1" x14ac:dyDescent="0.25">
      <c r="B103" s="44"/>
      <c r="F103" s="30"/>
      <c r="G103" s="30"/>
      <c r="H103" s="30"/>
      <c r="I103" s="39"/>
      <c r="J103" s="37"/>
      <c r="K103" s="37"/>
      <c r="L103" s="37"/>
    </row>
  </sheetData>
  <protectedRanges>
    <protectedRange password="EBC5" sqref="I98:I101 I3 I45:I46 I8:I44 I49:I53" name="範圍1_3_3_1_1_1_2_1_1_2"/>
    <protectedRange password="EBC5" sqref="I76:I77" name="範圍1_3_3_1_1_1_2_1_1_2_1"/>
    <protectedRange password="EBC5" sqref="I80:I97" name="範圍1_3_3_1_1_1_2_1_1_2_2"/>
    <protectedRange password="EBC5" sqref="I56:I75" name="範圍1_3_3_1_1_1_2_1_1_2_1_2"/>
  </protectedRanges>
  <mergeCells count="10">
    <mergeCell ref="D102:G102"/>
    <mergeCell ref="A1:C1"/>
    <mergeCell ref="A47:C47"/>
    <mergeCell ref="A6:C6"/>
    <mergeCell ref="A54:C54"/>
    <mergeCell ref="L56:P56"/>
    <mergeCell ref="L59:P59"/>
    <mergeCell ref="L62:P62"/>
    <mergeCell ref="L63:P63"/>
    <mergeCell ref="A78:C78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U103"/>
  <sheetViews>
    <sheetView topLeftCell="A43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572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66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66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66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146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576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7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225</v>
      </c>
      <c r="K49" s="37"/>
      <c r="L49" s="37"/>
    </row>
    <row r="50" spans="1:16" s="20" customFormat="1" x14ac:dyDescent="0.25">
      <c r="A50" s="66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224</v>
      </c>
      <c r="K50" s="37"/>
      <c r="L50" s="37"/>
    </row>
    <row r="51" spans="1:16" s="20" customFormat="1" x14ac:dyDescent="0.25">
      <c r="A51" s="66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220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236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66" t="s">
        <v>143</v>
      </c>
      <c r="B56" s="32" t="s">
        <v>158</v>
      </c>
      <c r="C56" s="32" t="s">
        <v>156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0xBB</v>
      </c>
      <c r="J56" s="20" t="str">
        <f>DEC2HEX(MOD(K56,256))</f>
        <v>BB</v>
      </c>
      <c r="K56" s="37">
        <f>P58-1</f>
        <v>1979</v>
      </c>
      <c r="L56" s="71" t="s">
        <v>41</v>
      </c>
      <c r="M56" s="71"/>
      <c r="N56" s="71"/>
      <c r="O56" s="71"/>
      <c r="P56" s="71"/>
    </row>
    <row r="57" spans="1:16" s="20" customFormat="1" x14ac:dyDescent="0.25">
      <c r="A57" s="66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0x07</v>
      </c>
      <c r="J57" s="20" t="str">
        <f>DEC2HEX((K56-MOD(K56,256))/256)</f>
        <v>7</v>
      </c>
      <c r="K57" s="37"/>
      <c r="L57" s="68" t="s">
        <v>337</v>
      </c>
      <c r="M57" s="68" t="s">
        <v>296</v>
      </c>
      <c r="N57" s="68" t="s">
        <v>298</v>
      </c>
      <c r="O57" s="68" t="s">
        <v>300</v>
      </c>
      <c r="P57" s="68" t="s">
        <v>302</v>
      </c>
    </row>
    <row r="58" spans="1:16" s="20" customFormat="1" x14ac:dyDescent="0.25">
      <c r="A58" s="66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0xED</v>
      </c>
      <c r="J58" s="20" t="str">
        <f>DEC2HEX(MOD(K58,256))</f>
        <v>ED</v>
      </c>
      <c r="K58" s="37">
        <f>P61-1</f>
        <v>749</v>
      </c>
      <c r="L58" s="59">
        <v>40</v>
      </c>
      <c r="M58" s="59">
        <v>220</v>
      </c>
      <c r="N58" s="59">
        <v>1280</v>
      </c>
      <c r="O58" s="59">
        <f>P58-N58-M58-L58</f>
        <v>440</v>
      </c>
      <c r="P58" s="59">
        <v>1980</v>
      </c>
    </row>
    <row r="59" spans="1:16" s="20" customFormat="1" x14ac:dyDescent="0.25">
      <c r="A59" s="66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0x02</v>
      </c>
      <c r="J59" s="20" t="str">
        <f>DEC2HEX((K58-MOD(K58,256))/256)</f>
        <v>2</v>
      </c>
      <c r="K59" s="37"/>
      <c r="L59" s="71" t="s">
        <v>338</v>
      </c>
      <c r="M59" s="71"/>
      <c r="N59" s="71"/>
      <c r="O59" s="71"/>
      <c r="P59" s="71"/>
    </row>
    <row r="60" spans="1:16" s="20" customFormat="1" x14ac:dyDescent="0.25">
      <c r="A60" s="66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295</v>
      </c>
      <c r="M60" s="68" t="s">
        <v>296</v>
      </c>
      <c r="N60" s="68" t="s">
        <v>298</v>
      </c>
      <c r="O60" s="68" t="s">
        <v>300</v>
      </c>
      <c r="P60" s="68" t="s">
        <v>302</v>
      </c>
    </row>
    <row r="61" spans="1:16" s="20" customFormat="1" x14ac:dyDescent="0.25">
      <c r="A61" s="66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5</v>
      </c>
      <c r="M61" s="59">
        <v>20</v>
      </c>
      <c r="N61" s="59">
        <v>720</v>
      </c>
      <c r="O61" s="59">
        <f>P61-N61-M61-L61</f>
        <v>5</v>
      </c>
      <c r="P61" s="59">
        <v>750</v>
      </c>
    </row>
    <row r="62" spans="1:16" s="20" customFormat="1" x14ac:dyDescent="0.25">
      <c r="A62" s="66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0x27</v>
      </c>
      <c r="J62" s="20" t="str">
        <f>DEC2HEX(MOD(K62,256))</f>
        <v>27</v>
      </c>
      <c r="K62" s="37">
        <f>L58-1</f>
        <v>39</v>
      </c>
      <c r="L62" s="71" t="s">
        <v>305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50</v>
      </c>
      <c r="M63" s="72"/>
      <c r="N63" s="72"/>
      <c r="O63" s="72"/>
      <c r="P63" s="72"/>
    </row>
    <row r="64" spans="1:16" s="20" customFormat="1" x14ac:dyDescent="0.25">
      <c r="A64" s="66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0x04</v>
      </c>
      <c r="J66" s="20" t="str">
        <f>DEC2HEX(MOD(K66,256))</f>
        <v>4</v>
      </c>
      <c r="K66" s="37">
        <f>L61-1</f>
        <v>4</v>
      </c>
      <c r="L66" s="37"/>
    </row>
    <row r="67" spans="1:12" s="20" customFormat="1" x14ac:dyDescent="0.25">
      <c r="A67" s="66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0x04</v>
      </c>
      <c r="J68" s="20" t="str">
        <f>DEC2HEX(MOD(K68,256))</f>
        <v>4</v>
      </c>
      <c r="K68" s="37">
        <f>L58+M58</f>
        <v>260</v>
      </c>
      <c r="L68" s="37"/>
    </row>
    <row r="69" spans="1:12" s="20" customFormat="1" x14ac:dyDescent="0.25">
      <c r="A69" s="66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0x01</v>
      </c>
      <c r="J69" s="20" t="str">
        <f>DEC2HEX((K68-MOD(K68,256))/256)</f>
        <v>1</v>
      </c>
      <c r="K69" s="37"/>
      <c r="L69" s="37"/>
    </row>
    <row r="70" spans="1:12" s="20" customFormat="1" x14ac:dyDescent="0.25">
      <c r="A70" s="66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0x03</v>
      </c>
      <c r="J70" s="20" t="str">
        <f>DEC2HEX(MOD(K70,256))</f>
        <v>3</v>
      </c>
      <c r="K70" s="37">
        <f>L58+M58+N58-1</f>
        <v>1539</v>
      </c>
      <c r="L70" s="37"/>
    </row>
    <row r="71" spans="1:12" s="20" customFormat="1" x14ac:dyDescent="0.25">
      <c r="A71" s="66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0x06</v>
      </c>
      <c r="J71" s="20" t="str">
        <f>DEC2HEX((K70-MOD(K70,256))/256)</f>
        <v>6</v>
      </c>
      <c r="K71" s="37"/>
      <c r="L71" s="37"/>
    </row>
    <row r="72" spans="1:12" s="20" customFormat="1" x14ac:dyDescent="0.25">
      <c r="A72" s="66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0x19</v>
      </c>
      <c r="J72" s="20" t="str">
        <f>DEC2HEX(MOD(K72,256))</f>
        <v>19</v>
      </c>
      <c r="K72" s="37">
        <f>L61+M61</f>
        <v>25</v>
      </c>
      <c r="L72" s="37"/>
    </row>
    <row r="73" spans="1:12" s="20" customFormat="1" x14ac:dyDescent="0.25">
      <c r="A73" s="66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0xE8</v>
      </c>
      <c r="J74" s="20" t="str">
        <f>DEC2HEX(MOD(K74,256))</f>
        <v>E8</v>
      </c>
      <c r="K74" s="37">
        <f>L61+M61+N61-1</f>
        <v>744</v>
      </c>
      <c r="L74" s="37"/>
    </row>
    <row r="75" spans="1:12" s="20" customFormat="1" x14ac:dyDescent="0.25">
      <c r="A75" s="66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0x02</v>
      </c>
      <c r="J75" s="20" t="str">
        <f>DEC2HEX((K74-MOD(K74,256))/256)</f>
        <v>2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66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260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66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133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124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</protectedRanges>
  <mergeCells count="10">
    <mergeCell ref="A1:C1"/>
    <mergeCell ref="A47:C47"/>
    <mergeCell ref="A6:C6"/>
    <mergeCell ref="A54:C54"/>
    <mergeCell ref="A78:C78"/>
    <mergeCell ref="D102:G102"/>
    <mergeCell ref="L56:P56"/>
    <mergeCell ref="L59:P59"/>
    <mergeCell ref="L62:P62"/>
    <mergeCell ref="L63:P63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U103"/>
  <sheetViews>
    <sheetView topLeftCell="A34" zoomScale="115" zoomScaleNormal="115" workbookViewId="0">
      <selection activeCell="A47" sqref="A47:C4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570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71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73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255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79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79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79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82</v>
      </c>
      <c r="G27" s="24" t="s">
        <v>41</v>
      </c>
      <c r="H27" s="21" t="s">
        <v>33</v>
      </c>
      <c r="I27" s="21" t="s">
        <v>83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79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87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97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96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239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101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50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31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129</v>
      </c>
      <c r="K42" s="37"/>
      <c r="L42" s="37"/>
    </row>
    <row r="43" spans="1:12" s="20" customFormat="1" x14ac:dyDescent="0.25">
      <c r="A43" s="31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31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243</v>
      </c>
      <c r="G44" s="22" t="s">
        <v>39</v>
      </c>
      <c r="H44" s="21" t="s">
        <v>33</v>
      </c>
      <c r="I44" s="21" t="s">
        <v>221</v>
      </c>
      <c r="K44" s="37"/>
      <c r="L44" s="37"/>
    </row>
    <row r="45" spans="1:12" s="20" customFormat="1" x14ac:dyDescent="0.25">
      <c r="A45" s="53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53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574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1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218</v>
      </c>
      <c r="K49" s="37"/>
      <c r="L49" s="37"/>
    </row>
    <row r="50" spans="1:16" s="20" customFormat="1" x14ac:dyDescent="0.25">
      <c r="A50" s="31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219</v>
      </c>
      <c r="K50" s="37"/>
      <c r="L50" s="37"/>
    </row>
    <row r="51" spans="1:16" s="20" customFormat="1" x14ac:dyDescent="0.25">
      <c r="A51" s="31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220</v>
      </c>
      <c r="K51" s="37"/>
      <c r="L51" s="37"/>
    </row>
    <row r="52" spans="1:16" s="20" customFormat="1" x14ac:dyDescent="0.25">
      <c r="A52" s="53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53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237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31" t="s">
        <v>143</v>
      </c>
      <c r="B56" s="32" t="s">
        <v>158</v>
      </c>
      <c r="C56" s="32" t="s">
        <v>159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0x71</v>
      </c>
      <c r="J56" s="20" t="str">
        <f>DEC2HEX(MOD(K56,256))</f>
        <v>71</v>
      </c>
      <c r="K56" s="37">
        <f>P58-1</f>
        <v>1649</v>
      </c>
      <c r="L56" s="71" t="s">
        <v>311</v>
      </c>
      <c r="M56" s="71"/>
      <c r="N56" s="71"/>
      <c r="O56" s="71"/>
      <c r="P56" s="71"/>
    </row>
    <row r="57" spans="1:16" s="20" customFormat="1" x14ac:dyDescent="0.25">
      <c r="A57" s="31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144</v>
      </c>
      <c r="G57" s="24" t="s">
        <v>41</v>
      </c>
      <c r="H57" s="21" t="s">
        <v>33</v>
      </c>
      <c r="I57" s="21" t="str">
        <f t="shared" ref="I57:I75" si="0">"0x"&amp;TEXT(J57,"00")</f>
        <v>0x06</v>
      </c>
      <c r="J57" s="20" t="str">
        <f>DEC2HEX((K56-MOD(K56,256))/256)</f>
        <v>6</v>
      </c>
      <c r="K57" s="37"/>
      <c r="L57" s="68" t="s">
        <v>312</v>
      </c>
      <c r="M57" s="68" t="s">
        <v>313</v>
      </c>
      <c r="N57" s="68" t="s">
        <v>314</v>
      </c>
      <c r="O57" s="68" t="s">
        <v>315</v>
      </c>
      <c r="P57" s="68" t="s">
        <v>302</v>
      </c>
    </row>
    <row r="58" spans="1:16" s="20" customFormat="1" x14ac:dyDescent="0.25">
      <c r="A58" s="31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0xED</v>
      </c>
      <c r="J58" s="20" t="str">
        <f>DEC2HEX(MOD(K58,256))</f>
        <v>ED</v>
      </c>
      <c r="K58" s="37">
        <f>P61-1</f>
        <v>749</v>
      </c>
      <c r="L58" s="59">
        <v>40</v>
      </c>
      <c r="M58" s="59">
        <v>220</v>
      </c>
      <c r="N58" s="59">
        <v>1280</v>
      </c>
      <c r="O58" s="59">
        <f>P58-N58-M58-L58</f>
        <v>110</v>
      </c>
      <c r="P58" s="59">
        <v>1650</v>
      </c>
    </row>
    <row r="59" spans="1:16" s="20" customFormat="1" x14ac:dyDescent="0.25">
      <c r="A59" s="31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0x02</v>
      </c>
      <c r="J59" s="20" t="str">
        <f>DEC2HEX((K58-MOD(K58,256))/256)</f>
        <v>2</v>
      </c>
      <c r="K59" s="37"/>
      <c r="L59" s="71" t="s">
        <v>316</v>
      </c>
      <c r="M59" s="71"/>
      <c r="N59" s="71"/>
      <c r="O59" s="71"/>
      <c r="P59" s="71"/>
    </row>
    <row r="60" spans="1:16" s="20" customFormat="1" x14ac:dyDescent="0.25">
      <c r="A60" s="31" t="s">
        <v>143</v>
      </c>
      <c r="B60" s="32" t="s">
        <v>161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312</v>
      </c>
      <c r="M60" s="68" t="s">
        <v>313</v>
      </c>
      <c r="N60" s="68" t="s">
        <v>317</v>
      </c>
      <c r="O60" s="68" t="s">
        <v>315</v>
      </c>
      <c r="P60" s="68" t="s">
        <v>302</v>
      </c>
    </row>
    <row r="61" spans="1:16" s="20" customFormat="1" x14ac:dyDescent="0.25">
      <c r="A61" s="31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5</v>
      </c>
      <c r="M61" s="59">
        <v>20</v>
      </c>
      <c r="N61" s="59">
        <v>720</v>
      </c>
      <c r="O61" s="59">
        <f>P61-N61-M61-L61</f>
        <v>5</v>
      </c>
      <c r="P61" s="59">
        <v>750</v>
      </c>
    </row>
    <row r="62" spans="1:16" s="20" customFormat="1" x14ac:dyDescent="0.25">
      <c r="A62" s="31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0x27</v>
      </c>
      <c r="J62" s="20" t="str">
        <f>DEC2HEX(MOD(K62,256))</f>
        <v>27</v>
      </c>
      <c r="K62" s="37">
        <f>L58-1</f>
        <v>39</v>
      </c>
      <c r="L62" s="71" t="s">
        <v>318</v>
      </c>
      <c r="M62" s="71"/>
      <c r="N62" s="71"/>
      <c r="O62" s="71"/>
      <c r="P62" s="71"/>
    </row>
    <row r="63" spans="1:16" s="20" customFormat="1" x14ac:dyDescent="0.25">
      <c r="A63" s="31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60</v>
      </c>
      <c r="M63" s="72"/>
      <c r="N63" s="72"/>
      <c r="O63" s="72"/>
      <c r="P63" s="72"/>
    </row>
    <row r="64" spans="1:16" s="20" customFormat="1" x14ac:dyDescent="0.25">
      <c r="A64" s="31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148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31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31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0x04</v>
      </c>
      <c r="J66" s="20" t="str">
        <f>DEC2HEX(MOD(K66,256))</f>
        <v>4</v>
      </c>
      <c r="K66" s="37">
        <f>L61-1</f>
        <v>4</v>
      </c>
      <c r="L66" s="37"/>
    </row>
    <row r="67" spans="1:12" s="20" customFormat="1" x14ac:dyDescent="0.25">
      <c r="A67" s="31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31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0x04</v>
      </c>
      <c r="J68" s="20" t="str">
        <f>DEC2HEX(MOD(K68,256))</f>
        <v>4</v>
      </c>
      <c r="K68" s="37">
        <f>L58+M58</f>
        <v>260</v>
      </c>
      <c r="L68" s="37"/>
    </row>
    <row r="69" spans="1:12" s="20" customFormat="1" x14ac:dyDescent="0.25">
      <c r="A69" s="31" t="s">
        <v>143</v>
      </c>
      <c r="B69" s="32" t="s">
        <v>169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0x01</v>
      </c>
      <c r="J69" s="20" t="str">
        <f>DEC2HEX((K68-MOD(K68,256))/256)</f>
        <v>1</v>
      </c>
      <c r="K69" s="37"/>
      <c r="L69" s="37"/>
    </row>
    <row r="70" spans="1:12" s="20" customFormat="1" x14ac:dyDescent="0.25">
      <c r="A70" s="31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0x03</v>
      </c>
      <c r="J70" s="20" t="str">
        <f>DEC2HEX(MOD(K70,256))</f>
        <v>3</v>
      </c>
      <c r="K70" s="37">
        <f>L58+M58+N58-1</f>
        <v>1539</v>
      </c>
      <c r="L70" s="37"/>
    </row>
    <row r="71" spans="1:12" s="20" customFormat="1" x14ac:dyDescent="0.25">
      <c r="A71" s="31" t="s">
        <v>143</v>
      </c>
      <c r="B71" s="32" t="s">
        <v>171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0x06</v>
      </c>
      <c r="J71" s="20" t="str">
        <f>DEC2HEX((K70-MOD(K70,256))/256)</f>
        <v>6</v>
      </c>
      <c r="K71" s="37"/>
      <c r="L71" s="37"/>
    </row>
    <row r="72" spans="1:12" s="20" customFormat="1" x14ac:dyDescent="0.25">
      <c r="A72" s="31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0x19</v>
      </c>
      <c r="J72" s="20" t="str">
        <f>DEC2HEX(MOD(K72,256))</f>
        <v>19</v>
      </c>
      <c r="K72" s="37">
        <f>L61+M61</f>
        <v>25</v>
      </c>
      <c r="L72" s="37"/>
    </row>
    <row r="73" spans="1:12" s="20" customFormat="1" x14ac:dyDescent="0.25">
      <c r="A73" s="31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31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0xE8</v>
      </c>
      <c r="J74" s="20" t="str">
        <f>DEC2HEX(MOD(K74,256))</f>
        <v>E8</v>
      </c>
      <c r="K74" s="37">
        <f>L61+M61+N61-1</f>
        <v>744</v>
      </c>
      <c r="L74" s="37"/>
    </row>
    <row r="75" spans="1:12" s="20" customFormat="1" x14ac:dyDescent="0.25">
      <c r="A75" s="31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0x02</v>
      </c>
      <c r="J75" s="20" t="str">
        <f>DEC2HEX((K74-MOD(K74,256))/256)</f>
        <v>2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247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250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31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222</v>
      </c>
      <c r="K91" s="37"/>
      <c r="L91" s="37"/>
    </row>
    <row r="92" spans="1:12" s="20" customFormat="1" x14ac:dyDescent="0.25">
      <c r="A92" s="31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31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223</v>
      </c>
      <c r="K93" s="37"/>
      <c r="L93" s="37"/>
    </row>
    <row r="94" spans="1:12" s="20" customFormat="1" x14ac:dyDescent="0.25">
      <c r="A94" s="31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213</v>
      </c>
      <c r="G95" s="22" t="s">
        <v>39</v>
      </c>
      <c r="H95" s="21" t="s">
        <v>33</v>
      </c>
      <c r="I95" s="21" t="s">
        <v>217</v>
      </c>
      <c r="K95" s="37"/>
      <c r="L95" s="37"/>
    </row>
    <row r="96" spans="1:12" s="20" customFormat="1" x14ac:dyDescent="0.25">
      <c r="A96" s="31" t="s">
        <v>143</v>
      </c>
      <c r="B96" s="32" t="s">
        <v>257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</protectedRanges>
  <mergeCells count="10">
    <mergeCell ref="D102:G102"/>
    <mergeCell ref="A54:C54"/>
    <mergeCell ref="A78:C78"/>
    <mergeCell ref="L62:P62"/>
    <mergeCell ref="L56:P56"/>
    <mergeCell ref="L59:P59"/>
    <mergeCell ref="L63:P63"/>
    <mergeCell ref="A1:C1"/>
    <mergeCell ref="A47:C47"/>
    <mergeCell ref="A6:C6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FF00"/>
  </sheetPr>
  <dimension ref="A1:U103"/>
  <sheetViews>
    <sheetView topLeftCell="A37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s="20" customFormat="1" ht="27" x14ac:dyDescent="0.25">
      <c r="A1" s="73" t="s">
        <v>569</v>
      </c>
      <c r="B1" s="73"/>
      <c r="C1" s="73"/>
      <c r="D1" s="46"/>
      <c r="E1" s="47"/>
      <c r="F1" s="48"/>
      <c r="G1" s="48"/>
      <c r="H1" s="49"/>
      <c r="I1" s="13" t="s">
        <v>28</v>
      </c>
      <c r="J1" s="37"/>
      <c r="K1" s="37"/>
      <c r="L1" s="37"/>
    </row>
    <row r="2" spans="1:12" s="20" customFormat="1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  <c r="J2" s="37"/>
      <c r="K2" s="37"/>
      <c r="L2" s="37"/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s="20" customFormat="1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  <c r="J6" s="37"/>
      <c r="K6" s="37"/>
      <c r="L6" s="37"/>
    </row>
    <row r="7" spans="1:12" s="20" customFormat="1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  <c r="J7" s="37"/>
      <c r="K7" s="37"/>
      <c r="L7" s="37"/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66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66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66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146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576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7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225</v>
      </c>
      <c r="K49" s="37"/>
      <c r="L49" s="37"/>
    </row>
    <row r="50" spans="1:16" s="20" customFormat="1" x14ac:dyDescent="0.25">
      <c r="A50" s="66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114</v>
      </c>
      <c r="G50" s="24" t="s">
        <v>41</v>
      </c>
      <c r="H50" s="21" t="s">
        <v>33</v>
      </c>
      <c r="I50" s="21" t="s">
        <v>224</v>
      </c>
      <c r="K50" s="37"/>
      <c r="L50" s="37"/>
    </row>
    <row r="51" spans="1:16" s="20" customFormat="1" x14ac:dyDescent="0.25">
      <c r="A51" s="66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220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235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66" t="s">
        <v>143</v>
      </c>
      <c r="B56" s="32" t="s">
        <v>158</v>
      </c>
      <c r="C56" s="32" t="s">
        <v>155</v>
      </c>
      <c r="D56" s="21" t="s">
        <v>37</v>
      </c>
      <c r="E56" s="21" t="s">
        <v>38</v>
      </c>
      <c r="F56" s="21" t="s">
        <v>114</v>
      </c>
      <c r="G56" s="22" t="s">
        <v>39</v>
      </c>
      <c r="H56" s="21" t="s">
        <v>33</v>
      </c>
      <c r="I56" s="21" t="str">
        <f>"0x"&amp;TEXT(J56,"00")</f>
        <v>0xBD</v>
      </c>
      <c r="J56" s="20" t="str">
        <f>DEC2HEX(MOD(K56,256))</f>
        <v>BD</v>
      </c>
      <c r="K56" s="37">
        <f>P58-1</f>
        <v>2749</v>
      </c>
      <c r="L56" s="71" t="s">
        <v>41</v>
      </c>
      <c r="M56" s="71"/>
      <c r="N56" s="71"/>
      <c r="O56" s="71"/>
      <c r="P56" s="71"/>
    </row>
    <row r="57" spans="1:16" s="20" customFormat="1" x14ac:dyDescent="0.25">
      <c r="A57" s="66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0xA</v>
      </c>
      <c r="J57" s="20" t="str">
        <f>DEC2HEX((K56-MOD(K56,256))/256)</f>
        <v>A</v>
      </c>
      <c r="K57" s="37"/>
      <c r="L57" s="68" t="s">
        <v>558</v>
      </c>
      <c r="M57" s="68" t="s">
        <v>559</v>
      </c>
      <c r="N57" s="68" t="s">
        <v>560</v>
      </c>
      <c r="O57" s="68" t="s">
        <v>561</v>
      </c>
      <c r="P57" s="68" t="s">
        <v>562</v>
      </c>
    </row>
    <row r="58" spans="1:16" s="20" customFormat="1" x14ac:dyDescent="0.25">
      <c r="A58" s="66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0x64</v>
      </c>
      <c r="J58" s="20" t="str">
        <f>DEC2HEX(MOD(K58,256))</f>
        <v>64</v>
      </c>
      <c r="K58" s="37">
        <f>P61-1</f>
        <v>1124</v>
      </c>
      <c r="L58" s="59">
        <v>44</v>
      </c>
      <c r="M58" s="59">
        <v>148</v>
      </c>
      <c r="N58" s="59">
        <v>1920</v>
      </c>
      <c r="O58" s="59">
        <f>P58-N58-M58-L58</f>
        <v>638</v>
      </c>
      <c r="P58" s="59">
        <v>2750</v>
      </c>
    </row>
    <row r="59" spans="1:16" s="20" customFormat="1" x14ac:dyDescent="0.25">
      <c r="A59" s="66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116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71" t="s">
        <v>563</v>
      </c>
      <c r="M59" s="71"/>
      <c r="N59" s="71"/>
      <c r="O59" s="71"/>
      <c r="P59" s="71"/>
    </row>
    <row r="60" spans="1:16" s="20" customFormat="1" x14ac:dyDescent="0.25">
      <c r="A60" s="66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295</v>
      </c>
      <c r="M60" s="68" t="s">
        <v>533</v>
      </c>
      <c r="N60" s="68" t="s">
        <v>534</v>
      </c>
      <c r="O60" s="68" t="s">
        <v>552</v>
      </c>
      <c r="P60" s="68" t="s">
        <v>564</v>
      </c>
    </row>
    <row r="61" spans="1:16" s="20" customFormat="1" x14ac:dyDescent="0.25">
      <c r="A61" s="66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5</v>
      </c>
      <c r="M61" s="59">
        <v>36</v>
      </c>
      <c r="N61" s="59">
        <v>1080</v>
      </c>
      <c r="O61" s="59">
        <f>P61-N61-M61-L61</f>
        <v>4</v>
      </c>
      <c r="P61" s="59">
        <v>1125</v>
      </c>
    </row>
    <row r="62" spans="1:16" s="20" customFormat="1" x14ac:dyDescent="0.25">
      <c r="A62" s="66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133</v>
      </c>
      <c r="G62" s="22" t="s">
        <v>39</v>
      </c>
      <c r="H62" s="21" t="s">
        <v>33</v>
      </c>
      <c r="I62" s="21" t="str">
        <f t="shared" si="0"/>
        <v>0x2B</v>
      </c>
      <c r="J62" s="20" t="str">
        <f>DEC2HEX(MOD(K62,256))</f>
        <v>2B</v>
      </c>
      <c r="K62" s="37">
        <f>L58-1</f>
        <v>43</v>
      </c>
      <c r="L62" s="71" t="s">
        <v>565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162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24</v>
      </c>
      <c r="M63" s="72"/>
      <c r="N63" s="72"/>
      <c r="O63" s="72"/>
      <c r="P63" s="72"/>
    </row>
    <row r="64" spans="1:16" s="20" customFormat="1" x14ac:dyDescent="0.25">
      <c r="A64" s="66" t="s">
        <v>143</v>
      </c>
      <c r="B64" s="32" t="s">
        <v>164</v>
      </c>
      <c r="C64" s="32" t="s">
        <v>155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143</v>
      </c>
      <c r="B65" s="32" t="s">
        <v>164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166</v>
      </c>
      <c r="C66" s="32" t="s">
        <v>155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0x04</v>
      </c>
      <c r="J66" s="20" t="str">
        <f>DEC2HEX(MOD(K66,256))</f>
        <v>4</v>
      </c>
      <c r="K66" s="37">
        <f>L61-1</f>
        <v>4</v>
      </c>
      <c r="L66" s="37"/>
    </row>
    <row r="67" spans="1:12" s="20" customFormat="1" x14ac:dyDescent="0.25">
      <c r="A67" s="66" t="s">
        <v>143</v>
      </c>
      <c r="B67" s="32" t="s">
        <v>166</v>
      </c>
      <c r="C67" s="32"/>
      <c r="D67" s="21" t="s">
        <v>37</v>
      </c>
      <c r="E67" s="21" t="s">
        <v>38</v>
      </c>
      <c r="F67" s="21" t="s">
        <v>149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168</v>
      </c>
      <c r="C68" s="32" t="s">
        <v>155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0xC0</v>
      </c>
      <c r="J68" s="20" t="str">
        <f>DEC2HEX(MOD(K68,256))</f>
        <v>C0</v>
      </c>
      <c r="K68" s="37">
        <f>L58+M58</f>
        <v>192</v>
      </c>
      <c r="L68" s="37"/>
    </row>
    <row r="69" spans="1:12" s="20" customFormat="1" x14ac:dyDescent="0.25">
      <c r="A69" s="66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0x00</v>
      </c>
      <c r="J69" s="20" t="str">
        <f>DEC2HEX((K68-MOD(K68,256))/256)</f>
        <v>0</v>
      </c>
      <c r="K69" s="37"/>
      <c r="L69" s="37"/>
    </row>
    <row r="70" spans="1:12" s="20" customFormat="1" x14ac:dyDescent="0.25">
      <c r="A70" s="66" t="s">
        <v>143</v>
      </c>
      <c r="B70" s="32" t="s">
        <v>170</v>
      </c>
      <c r="C70" s="32" t="s">
        <v>155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0x3F</v>
      </c>
      <c r="J70" s="20" t="str">
        <f>DEC2HEX(MOD(K70,256))</f>
        <v>3F</v>
      </c>
      <c r="K70" s="37">
        <f>L58+M58+N58-1</f>
        <v>2111</v>
      </c>
      <c r="L70" s="37"/>
    </row>
    <row r="71" spans="1:12" s="20" customFormat="1" x14ac:dyDescent="0.25">
      <c r="A71" s="66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51</v>
      </c>
      <c r="G71" s="24" t="s">
        <v>41</v>
      </c>
      <c r="H71" s="21" t="s">
        <v>33</v>
      </c>
      <c r="I71" s="21" t="str">
        <f t="shared" si="0"/>
        <v>0x08</v>
      </c>
      <c r="J71" s="20" t="str">
        <f>DEC2HEX((K70-MOD(K70,256))/256)</f>
        <v>8</v>
      </c>
      <c r="K71" s="37"/>
      <c r="L71" s="37"/>
    </row>
    <row r="72" spans="1:12" s="20" customFormat="1" x14ac:dyDescent="0.25">
      <c r="A72" s="66" t="s">
        <v>143</v>
      </c>
      <c r="B72" s="32" t="s">
        <v>172</v>
      </c>
      <c r="C72" s="32" t="s">
        <v>155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0x29</v>
      </c>
      <c r="J72" s="20" t="str">
        <f>DEC2HEX(MOD(K72,256))</f>
        <v>29</v>
      </c>
      <c r="K72" s="37">
        <f>L61+M61</f>
        <v>41</v>
      </c>
      <c r="L72" s="37"/>
    </row>
    <row r="73" spans="1:12" s="20" customFormat="1" x14ac:dyDescent="0.25">
      <c r="A73" s="66" t="s">
        <v>143</v>
      </c>
      <c r="B73" s="32" t="s">
        <v>172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143</v>
      </c>
      <c r="B74" s="32" t="s">
        <v>174</v>
      </c>
      <c r="C74" s="32" t="s">
        <v>155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0x60</v>
      </c>
      <c r="J74" s="20" t="str">
        <f>DEC2HEX(MOD(K74,256))</f>
        <v>60</v>
      </c>
      <c r="K74" s="37">
        <f>L61+M61+N61-1</f>
        <v>1120</v>
      </c>
      <c r="L74" s="37"/>
    </row>
    <row r="75" spans="1:12" s="20" customFormat="1" x14ac:dyDescent="0.25">
      <c r="A75" s="66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153</v>
      </c>
      <c r="G75" s="24" t="s">
        <v>41</v>
      </c>
      <c r="H75" s="21" t="s">
        <v>33</v>
      </c>
      <c r="I75" s="21" t="str">
        <f t="shared" si="0"/>
        <v>0x04</v>
      </c>
      <c r="J75" s="20" t="str">
        <f>DEC2HEX((K74-MOD(K74,256))/256)</f>
        <v>4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52</v>
      </c>
      <c r="G81" s="22" t="s">
        <v>39</v>
      </c>
      <c r="H81" s="21" t="s">
        <v>33</v>
      </c>
      <c r="I81" s="21" t="s">
        <v>58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183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118</v>
      </c>
      <c r="K90" s="37"/>
      <c r="L90" s="37"/>
    </row>
    <row r="91" spans="1:12" s="20" customFormat="1" x14ac:dyDescent="0.25">
      <c r="A91" s="66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259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66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142</v>
      </c>
      <c r="G93" s="22" t="s">
        <v>39</v>
      </c>
      <c r="H93" s="21" t="s">
        <v>33</v>
      </c>
      <c r="I93" s="21" t="s">
        <v>67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142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123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288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288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s="20" customFormat="1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J102" s="37"/>
    </row>
    <row r="103" spans="1:12" s="20" customFormat="1" x14ac:dyDescent="0.25">
      <c r="B103" s="44"/>
      <c r="F103" s="30"/>
      <c r="G103" s="30"/>
      <c r="H103" s="30"/>
      <c r="I103" s="39"/>
      <c r="J103" s="37"/>
      <c r="K103" s="37"/>
      <c r="L103" s="37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</protectedRanges>
  <mergeCells count="10">
    <mergeCell ref="D102:G102"/>
    <mergeCell ref="A1:C1"/>
    <mergeCell ref="A47:C47"/>
    <mergeCell ref="A6:C6"/>
    <mergeCell ref="A54:C54"/>
    <mergeCell ref="L56:P56"/>
    <mergeCell ref="L59:P59"/>
    <mergeCell ref="L62:P62"/>
    <mergeCell ref="L63:P63"/>
    <mergeCell ref="A78:C78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FF00"/>
  </sheetPr>
  <dimension ref="A1:U103"/>
  <sheetViews>
    <sheetView topLeftCell="A37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s="20" customFormat="1" ht="27" x14ac:dyDescent="0.25">
      <c r="A1" s="73" t="s">
        <v>569</v>
      </c>
      <c r="B1" s="73"/>
      <c r="C1" s="73"/>
      <c r="D1" s="46"/>
      <c r="E1" s="47"/>
      <c r="F1" s="48"/>
      <c r="G1" s="48"/>
      <c r="H1" s="49"/>
      <c r="I1" s="13" t="s">
        <v>28</v>
      </c>
      <c r="J1" s="37"/>
      <c r="K1" s="37"/>
      <c r="L1" s="37"/>
    </row>
    <row r="2" spans="1:12" s="20" customFormat="1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  <c r="J2" s="37"/>
      <c r="K2" s="37"/>
      <c r="L2" s="37"/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s="20" customFormat="1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  <c r="J6" s="37"/>
      <c r="K6" s="37"/>
      <c r="L6" s="37"/>
    </row>
    <row r="7" spans="1:12" s="20" customFormat="1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  <c r="J7" s="37"/>
      <c r="K7" s="37"/>
      <c r="L7" s="37"/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66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66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66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146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576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7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225</v>
      </c>
      <c r="K49" s="37"/>
      <c r="L49" s="37"/>
    </row>
    <row r="50" spans="1:16" s="20" customFormat="1" x14ac:dyDescent="0.25">
      <c r="A50" s="66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114</v>
      </c>
      <c r="G50" s="24" t="s">
        <v>41</v>
      </c>
      <c r="H50" s="21" t="s">
        <v>33</v>
      </c>
      <c r="I50" s="21" t="s">
        <v>224</v>
      </c>
      <c r="K50" s="37"/>
      <c r="L50" s="37"/>
    </row>
    <row r="51" spans="1:16" s="20" customFormat="1" x14ac:dyDescent="0.25">
      <c r="A51" s="66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220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235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66" t="s">
        <v>143</v>
      </c>
      <c r="B56" s="32" t="s">
        <v>158</v>
      </c>
      <c r="C56" s="32" t="s">
        <v>155</v>
      </c>
      <c r="D56" s="21" t="s">
        <v>37</v>
      </c>
      <c r="E56" s="21" t="s">
        <v>38</v>
      </c>
      <c r="F56" s="21" t="s">
        <v>114</v>
      </c>
      <c r="G56" s="22" t="s">
        <v>39</v>
      </c>
      <c r="H56" s="21" t="s">
        <v>33</v>
      </c>
      <c r="I56" s="21" t="str">
        <f>"0x"&amp;TEXT(J56,"00")</f>
        <v>0x4F</v>
      </c>
      <c r="J56" s="20" t="str">
        <f>DEC2HEX(MOD(K56,256))</f>
        <v>4F</v>
      </c>
      <c r="K56" s="37">
        <f>P58-1</f>
        <v>2639</v>
      </c>
      <c r="L56" s="71" t="s">
        <v>41</v>
      </c>
      <c r="M56" s="71"/>
      <c r="N56" s="71"/>
      <c r="O56" s="71"/>
      <c r="P56" s="71"/>
    </row>
    <row r="57" spans="1:16" s="20" customFormat="1" x14ac:dyDescent="0.25">
      <c r="A57" s="66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0xA</v>
      </c>
      <c r="J57" s="20" t="str">
        <f>DEC2HEX((K56-MOD(K56,256))/256)</f>
        <v>A</v>
      </c>
      <c r="K57" s="37"/>
      <c r="L57" s="68" t="s">
        <v>295</v>
      </c>
      <c r="M57" s="68" t="s">
        <v>296</v>
      </c>
      <c r="N57" s="68" t="s">
        <v>298</v>
      </c>
      <c r="O57" s="68" t="s">
        <v>300</v>
      </c>
      <c r="P57" s="68" t="s">
        <v>302</v>
      </c>
    </row>
    <row r="58" spans="1:16" s="20" customFormat="1" x14ac:dyDescent="0.25">
      <c r="A58" s="66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0x64</v>
      </c>
      <c r="J58" s="20" t="str">
        <f>DEC2HEX(MOD(K58,256))</f>
        <v>64</v>
      </c>
      <c r="K58" s="37">
        <f>P61-1</f>
        <v>1124</v>
      </c>
      <c r="L58" s="59">
        <v>44</v>
      </c>
      <c r="M58" s="59">
        <v>148</v>
      </c>
      <c r="N58" s="59">
        <v>1920</v>
      </c>
      <c r="O58" s="59">
        <f>P58-N58-M58-L58</f>
        <v>528</v>
      </c>
      <c r="P58" s="59">
        <v>2640</v>
      </c>
    </row>
    <row r="59" spans="1:16" s="20" customFormat="1" x14ac:dyDescent="0.25">
      <c r="A59" s="66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116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71" t="s">
        <v>563</v>
      </c>
      <c r="M59" s="71"/>
      <c r="N59" s="71"/>
      <c r="O59" s="71"/>
      <c r="P59" s="71"/>
    </row>
    <row r="60" spans="1:16" s="20" customFormat="1" x14ac:dyDescent="0.25">
      <c r="A60" s="66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295</v>
      </c>
      <c r="M60" s="68" t="s">
        <v>296</v>
      </c>
      <c r="N60" s="68" t="s">
        <v>298</v>
      </c>
      <c r="O60" s="68" t="s">
        <v>552</v>
      </c>
      <c r="P60" s="68" t="s">
        <v>302</v>
      </c>
    </row>
    <row r="61" spans="1:16" s="20" customFormat="1" x14ac:dyDescent="0.25">
      <c r="A61" s="66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5</v>
      </c>
      <c r="M61" s="59">
        <v>36</v>
      </c>
      <c r="N61" s="59">
        <v>1080</v>
      </c>
      <c r="O61" s="59">
        <f>P61-N61-M61-L61</f>
        <v>4</v>
      </c>
      <c r="P61" s="59">
        <v>1125</v>
      </c>
    </row>
    <row r="62" spans="1:16" s="20" customFormat="1" x14ac:dyDescent="0.25">
      <c r="A62" s="66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133</v>
      </c>
      <c r="G62" s="22" t="s">
        <v>39</v>
      </c>
      <c r="H62" s="21" t="s">
        <v>33</v>
      </c>
      <c r="I62" s="21" t="str">
        <f t="shared" si="0"/>
        <v>0x2B</v>
      </c>
      <c r="J62" s="20" t="str">
        <f>DEC2HEX(MOD(K62,256))</f>
        <v>2B</v>
      </c>
      <c r="K62" s="37">
        <f>L58-1</f>
        <v>43</v>
      </c>
      <c r="L62" s="71" t="s">
        <v>305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162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25</v>
      </c>
      <c r="M63" s="72"/>
      <c r="N63" s="72"/>
      <c r="O63" s="72"/>
      <c r="P63" s="72"/>
    </row>
    <row r="64" spans="1:16" s="20" customFormat="1" x14ac:dyDescent="0.25">
      <c r="A64" s="66" t="s">
        <v>143</v>
      </c>
      <c r="B64" s="32" t="s">
        <v>164</v>
      </c>
      <c r="C64" s="32" t="s">
        <v>155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143</v>
      </c>
      <c r="B65" s="32" t="s">
        <v>164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166</v>
      </c>
      <c r="C66" s="32" t="s">
        <v>155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0x04</v>
      </c>
      <c r="J66" s="20" t="str">
        <f>DEC2HEX(MOD(K66,256))</f>
        <v>4</v>
      </c>
      <c r="K66" s="37">
        <f>L61-1</f>
        <v>4</v>
      </c>
      <c r="L66" s="37"/>
    </row>
    <row r="67" spans="1:12" s="20" customFormat="1" x14ac:dyDescent="0.25">
      <c r="A67" s="66" t="s">
        <v>143</v>
      </c>
      <c r="B67" s="32" t="s">
        <v>166</v>
      </c>
      <c r="C67" s="32"/>
      <c r="D67" s="21" t="s">
        <v>37</v>
      </c>
      <c r="E67" s="21" t="s">
        <v>38</v>
      </c>
      <c r="F67" s="21" t="s">
        <v>149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168</v>
      </c>
      <c r="C68" s="32" t="s">
        <v>155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0xC0</v>
      </c>
      <c r="J68" s="20" t="str">
        <f>DEC2HEX(MOD(K68,256))</f>
        <v>C0</v>
      </c>
      <c r="K68" s="37">
        <f>L58+M58</f>
        <v>192</v>
      </c>
      <c r="L68" s="37"/>
    </row>
    <row r="69" spans="1:12" s="20" customFormat="1" x14ac:dyDescent="0.25">
      <c r="A69" s="66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0x00</v>
      </c>
      <c r="J69" s="20" t="str">
        <f>DEC2HEX((K68-MOD(K68,256))/256)</f>
        <v>0</v>
      </c>
      <c r="K69" s="37"/>
      <c r="L69" s="37"/>
    </row>
    <row r="70" spans="1:12" s="20" customFormat="1" x14ac:dyDescent="0.25">
      <c r="A70" s="66" t="s">
        <v>143</v>
      </c>
      <c r="B70" s="32" t="s">
        <v>170</v>
      </c>
      <c r="C70" s="32" t="s">
        <v>155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0x3F</v>
      </c>
      <c r="J70" s="20" t="str">
        <f>DEC2HEX(MOD(K70,256))</f>
        <v>3F</v>
      </c>
      <c r="K70" s="37">
        <f>L58+M58+N58-1</f>
        <v>2111</v>
      </c>
      <c r="L70" s="37"/>
    </row>
    <row r="71" spans="1:12" s="20" customFormat="1" x14ac:dyDescent="0.25">
      <c r="A71" s="66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51</v>
      </c>
      <c r="G71" s="24" t="s">
        <v>41</v>
      </c>
      <c r="H71" s="21" t="s">
        <v>33</v>
      </c>
      <c r="I71" s="21" t="str">
        <f t="shared" si="0"/>
        <v>0x08</v>
      </c>
      <c r="J71" s="20" t="str">
        <f>DEC2HEX((K70-MOD(K70,256))/256)</f>
        <v>8</v>
      </c>
      <c r="K71" s="37"/>
      <c r="L71" s="37"/>
    </row>
    <row r="72" spans="1:12" s="20" customFormat="1" x14ac:dyDescent="0.25">
      <c r="A72" s="66" t="s">
        <v>143</v>
      </c>
      <c r="B72" s="32" t="s">
        <v>172</v>
      </c>
      <c r="C72" s="32" t="s">
        <v>155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0x29</v>
      </c>
      <c r="J72" s="20" t="str">
        <f>DEC2HEX(MOD(K72,256))</f>
        <v>29</v>
      </c>
      <c r="K72" s="37">
        <f>L61+M61</f>
        <v>41</v>
      </c>
      <c r="L72" s="37"/>
    </row>
    <row r="73" spans="1:12" s="20" customFormat="1" x14ac:dyDescent="0.25">
      <c r="A73" s="66" t="s">
        <v>143</v>
      </c>
      <c r="B73" s="32" t="s">
        <v>172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143</v>
      </c>
      <c r="B74" s="32" t="s">
        <v>174</v>
      </c>
      <c r="C74" s="32" t="s">
        <v>155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0x60</v>
      </c>
      <c r="J74" s="20" t="str">
        <f>DEC2HEX(MOD(K74,256))</f>
        <v>60</v>
      </c>
      <c r="K74" s="37">
        <f>L61+M61+N61-1</f>
        <v>1120</v>
      </c>
      <c r="L74" s="37"/>
    </row>
    <row r="75" spans="1:12" s="20" customFormat="1" x14ac:dyDescent="0.25">
      <c r="A75" s="66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153</v>
      </c>
      <c r="G75" s="24" t="s">
        <v>41</v>
      </c>
      <c r="H75" s="21" t="s">
        <v>33</v>
      </c>
      <c r="I75" s="21" t="str">
        <f t="shared" si="0"/>
        <v>0x04</v>
      </c>
      <c r="J75" s="20" t="str">
        <f>DEC2HEX((K74-MOD(K74,256))/256)</f>
        <v>4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52</v>
      </c>
      <c r="G81" s="22" t="s">
        <v>39</v>
      </c>
      <c r="H81" s="21" t="s">
        <v>33</v>
      </c>
      <c r="I81" s="21" t="s">
        <v>58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183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118</v>
      </c>
      <c r="K90" s="37"/>
      <c r="L90" s="37"/>
    </row>
    <row r="91" spans="1:12" s="20" customFormat="1" x14ac:dyDescent="0.25">
      <c r="A91" s="66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259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66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142</v>
      </c>
      <c r="G93" s="22" t="s">
        <v>39</v>
      </c>
      <c r="H93" s="21" t="s">
        <v>33</v>
      </c>
      <c r="I93" s="21" t="s">
        <v>67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142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123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288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288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s="20" customFormat="1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J102" s="37"/>
    </row>
    <row r="103" spans="1:12" s="20" customFormat="1" x14ac:dyDescent="0.25">
      <c r="B103" s="44"/>
      <c r="F103" s="30"/>
      <c r="G103" s="30"/>
      <c r="H103" s="30"/>
      <c r="I103" s="39"/>
      <c r="J103" s="37"/>
      <c r="K103" s="37"/>
      <c r="L103" s="37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</protectedRanges>
  <mergeCells count="10">
    <mergeCell ref="D102:G102"/>
    <mergeCell ref="A1:C1"/>
    <mergeCell ref="A47:C47"/>
    <mergeCell ref="A6:C6"/>
    <mergeCell ref="A54:C54"/>
    <mergeCell ref="L56:P56"/>
    <mergeCell ref="L59:P59"/>
    <mergeCell ref="L62:P62"/>
    <mergeCell ref="L63:P63"/>
    <mergeCell ref="A78:C78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U103"/>
  <sheetViews>
    <sheetView topLeftCell="A37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570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66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66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66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146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576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7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225</v>
      </c>
      <c r="K49" s="37"/>
      <c r="L49" s="37"/>
    </row>
    <row r="50" spans="1:16" s="20" customFormat="1" x14ac:dyDescent="0.25">
      <c r="A50" s="66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224</v>
      </c>
      <c r="K50" s="37"/>
      <c r="L50" s="37"/>
    </row>
    <row r="51" spans="1:16" s="20" customFormat="1" x14ac:dyDescent="0.25">
      <c r="A51" s="66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220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236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66" t="s">
        <v>143</v>
      </c>
      <c r="B56" s="32" t="s">
        <v>158</v>
      </c>
      <c r="C56" s="32" t="s">
        <v>156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0x97</v>
      </c>
      <c r="J56" s="20" t="str">
        <f>DEC2HEX(MOD(K56,256))</f>
        <v>97</v>
      </c>
      <c r="K56" s="37">
        <f>P58-1</f>
        <v>2199</v>
      </c>
      <c r="L56" s="71" t="s">
        <v>325</v>
      </c>
      <c r="M56" s="71"/>
      <c r="N56" s="71"/>
      <c r="O56" s="71"/>
      <c r="P56" s="71"/>
    </row>
    <row r="57" spans="1:16" s="20" customFormat="1" x14ac:dyDescent="0.25">
      <c r="A57" s="66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0x08</v>
      </c>
      <c r="J57" s="20" t="str">
        <f>DEC2HEX((K56-MOD(K56,256))/256)</f>
        <v>8</v>
      </c>
      <c r="K57" s="37"/>
      <c r="L57" s="68" t="s">
        <v>308</v>
      </c>
      <c r="M57" s="68" t="s">
        <v>297</v>
      </c>
      <c r="N57" s="68" t="s">
        <v>298</v>
      </c>
      <c r="O57" s="68" t="s">
        <v>300</v>
      </c>
      <c r="P57" s="68" t="s">
        <v>326</v>
      </c>
    </row>
    <row r="58" spans="1:16" s="20" customFormat="1" x14ac:dyDescent="0.25">
      <c r="A58" s="66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0x64</v>
      </c>
      <c r="J58" s="20" t="str">
        <f>DEC2HEX(MOD(K58,256))</f>
        <v>64</v>
      </c>
      <c r="K58" s="37">
        <f>P61-1</f>
        <v>1124</v>
      </c>
      <c r="L58" s="59">
        <v>44</v>
      </c>
      <c r="M58" s="59">
        <v>148</v>
      </c>
      <c r="N58" s="59">
        <v>1920</v>
      </c>
      <c r="O58" s="59">
        <f>P58-N58-M58-L58</f>
        <v>88</v>
      </c>
      <c r="P58" s="59">
        <v>2200</v>
      </c>
    </row>
    <row r="59" spans="1:16" s="20" customFormat="1" x14ac:dyDescent="0.25">
      <c r="A59" s="66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71" t="s">
        <v>327</v>
      </c>
      <c r="M59" s="71"/>
      <c r="N59" s="71"/>
      <c r="O59" s="71"/>
      <c r="P59" s="71"/>
    </row>
    <row r="60" spans="1:16" s="20" customFormat="1" x14ac:dyDescent="0.25">
      <c r="A60" s="66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308</v>
      </c>
      <c r="M60" s="68" t="s">
        <v>309</v>
      </c>
      <c r="N60" s="68" t="s">
        <v>314</v>
      </c>
      <c r="O60" s="68" t="s">
        <v>328</v>
      </c>
      <c r="P60" s="68" t="s">
        <v>326</v>
      </c>
    </row>
    <row r="61" spans="1:16" s="20" customFormat="1" x14ac:dyDescent="0.25">
      <c r="A61" s="66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5</v>
      </c>
      <c r="M61" s="59">
        <v>36</v>
      </c>
      <c r="N61" s="59">
        <v>1080</v>
      </c>
      <c r="O61" s="59">
        <f>P61-N61-M61-L61</f>
        <v>4</v>
      </c>
      <c r="P61" s="59">
        <v>1125</v>
      </c>
    </row>
    <row r="62" spans="1:16" s="20" customFormat="1" x14ac:dyDescent="0.25">
      <c r="A62" s="66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0x2B</v>
      </c>
      <c r="J62" s="20" t="str">
        <f>DEC2HEX(MOD(K62,256))</f>
        <v>2B</v>
      </c>
      <c r="K62" s="37">
        <f>L58-1</f>
        <v>43</v>
      </c>
      <c r="L62" s="71" t="s">
        <v>310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30</v>
      </c>
      <c r="M63" s="72"/>
      <c r="N63" s="72"/>
      <c r="O63" s="72"/>
      <c r="P63" s="72"/>
    </row>
    <row r="64" spans="1:16" s="20" customFormat="1" x14ac:dyDescent="0.25">
      <c r="A64" s="66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0x04</v>
      </c>
      <c r="J66" s="20" t="str">
        <f>DEC2HEX(MOD(K66,256))</f>
        <v>4</v>
      </c>
      <c r="K66" s="37">
        <f>L61-1</f>
        <v>4</v>
      </c>
      <c r="L66" s="37"/>
    </row>
    <row r="67" spans="1:12" s="20" customFormat="1" x14ac:dyDescent="0.25">
      <c r="A67" s="66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0xC0</v>
      </c>
      <c r="J68" s="20" t="str">
        <f>DEC2HEX(MOD(K68,256))</f>
        <v>C0</v>
      </c>
      <c r="K68" s="37">
        <f>L58+M58</f>
        <v>192</v>
      </c>
      <c r="L68" s="37"/>
    </row>
    <row r="69" spans="1:12" s="20" customFormat="1" x14ac:dyDescent="0.25">
      <c r="A69" s="66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0x00</v>
      </c>
      <c r="J69" s="20" t="str">
        <f>DEC2HEX((K68-MOD(K68,256))/256)</f>
        <v>0</v>
      </c>
      <c r="K69" s="37"/>
      <c r="L69" s="37"/>
    </row>
    <row r="70" spans="1:12" s="20" customFormat="1" x14ac:dyDescent="0.25">
      <c r="A70" s="66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0x3F</v>
      </c>
      <c r="J70" s="20" t="str">
        <f>DEC2HEX(MOD(K70,256))</f>
        <v>3F</v>
      </c>
      <c r="K70" s="37">
        <f>L58+M58+N58-1</f>
        <v>2111</v>
      </c>
      <c r="L70" s="37"/>
    </row>
    <row r="71" spans="1:12" s="20" customFormat="1" x14ac:dyDescent="0.25">
      <c r="A71" s="66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0x08</v>
      </c>
      <c r="J71" s="20" t="str">
        <f>DEC2HEX((K70-MOD(K70,256))/256)</f>
        <v>8</v>
      </c>
      <c r="K71" s="37"/>
      <c r="L71" s="37"/>
    </row>
    <row r="72" spans="1:12" s="20" customFormat="1" x14ac:dyDescent="0.25">
      <c r="A72" s="66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0x29</v>
      </c>
      <c r="J72" s="20" t="str">
        <f>DEC2HEX(MOD(K72,256))</f>
        <v>29</v>
      </c>
      <c r="K72" s="37">
        <f>L61+M61</f>
        <v>41</v>
      </c>
      <c r="L72" s="37"/>
    </row>
    <row r="73" spans="1:12" s="20" customFormat="1" x14ac:dyDescent="0.25">
      <c r="A73" s="66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0x60</v>
      </c>
      <c r="J74" s="20" t="str">
        <f>DEC2HEX(MOD(K74,256))</f>
        <v>60</v>
      </c>
      <c r="K74" s="37">
        <f>L61+M61+N61-1</f>
        <v>1120</v>
      </c>
      <c r="L74" s="37"/>
    </row>
    <row r="75" spans="1:12" s="20" customFormat="1" x14ac:dyDescent="0.25">
      <c r="A75" s="66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0x04</v>
      </c>
      <c r="J75" s="20" t="str">
        <f>DEC2HEX((K74-MOD(K74,256))/256)</f>
        <v>4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66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259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66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67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124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</protectedRanges>
  <mergeCells count="10">
    <mergeCell ref="A1:C1"/>
    <mergeCell ref="A47:C47"/>
    <mergeCell ref="A6:C6"/>
    <mergeCell ref="A54:C54"/>
    <mergeCell ref="A78:C78"/>
    <mergeCell ref="D102:G102"/>
    <mergeCell ref="L56:P56"/>
    <mergeCell ref="L59:P59"/>
    <mergeCell ref="L62:P62"/>
    <mergeCell ref="L63:P63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U103"/>
  <sheetViews>
    <sheetView topLeftCell="A34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570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66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66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66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116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574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7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225</v>
      </c>
      <c r="K49" s="37"/>
      <c r="L49" s="37"/>
    </row>
    <row r="50" spans="1:16" s="20" customFormat="1" x14ac:dyDescent="0.25">
      <c r="A50" s="66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224</v>
      </c>
      <c r="K50" s="37"/>
      <c r="L50" s="37"/>
    </row>
    <row r="51" spans="1:16" s="20" customFormat="1" x14ac:dyDescent="0.25">
      <c r="A51" s="66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220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236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66" t="s">
        <v>143</v>
      </c>
      <c r="B56" s="32" t="s">
        <v>158</v>
      </c>
      <c r="C56" s="32" t="s">
        <v>156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0x4F</v>
      </c>
      <c r="J56" s="20" t="str">
        <f>DEC2HEX(MOD(K56,256))</f>
        <v>4F</v>
      </c>
      <c r="K56" s="37">
        <f>P58-1</f>
        <v>2639</v>
      </c>
      <c r="L56" s="71" t="s">
        <v>329</v>
      </c>
      <c r="M56" s="71"/>
      <c r="N56" s="71"/>
      <c r="O56" s="71"/>
      <c r="P56" s="71"/>
    </row>
    <row r="57" spans="1:16" s="20" customFormat="1" x14ac:dyDescent="0.25">
      <c r="A57" s="66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0xA</v>
      </c>
      <c r="J57" s="20" t="str">
        <f>DEC2HEX((K56-MOD(K56,256))/256)</f>
        <v>A</v>
      </c>
      <c r="K57" s="37"/>
      <c r="L57" s="68" t="s">
        <v>330</v>
      </c>
      <c r="M57" s="68" t="s">
        <v>331</v>
      </c>
      <c r="N57" s="68" t="s">
        <v>298</v>
      </c>
      <c r="O57" s="68" t="s">
        <v>332</v>
      </c>
      <c r="P57" s="68" t="s">
        <v>333</v>
      </c>
    </row>
    <row r="58" spans="1:16" s="20" customFormat="1" x14ac:dyDescent="0.25">
      <c r="A58" s="66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0x64</v>
      </c>
      <c r="J58" s="20" t="str">
        <f>DEC2HEX(MOD(K58,256))</f>
        <v>64</v>
      </c>
      <c r="K58" s="37">
        <f>P61-1</f>
        <v>1124</v>
      </c>
      <c r="L58" s="59">
        <v>44</v>
      </c>
      <c r="M58" s="59">
        <v>148</v>
      </c>
      <c r="N58" s="59">
        <v>1920</v>
      </c>
      <c r="O58" s="59">
        <f>P58-N58-M58-L58</f>
        <v>528</v>
      </c>
      <c r="P58" s="59">
        <v>2640</v>
      </c>
    </row>
    <row r="59" spans="1:16" s="20" customFormat="1" x14ac:dyDescent="0.25">
      <c r="A59" s="66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71" t="s">
        <v>334</v>
      </c>
      <c r="M59" s="71"/>
      <c r="N59" s="71"/>
      <c r="O59" s="71"/>
      <c r="P59" s="71"/>
    </row>
    <row r="60" spans="1:16" s="20" customFormat="1" x14ac:dyDescent="0.25">
      <c r="A60" s="66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330</v>
      </c>
      <c r="M60" s="68" t="s">
        <v>331</v>
      </c>
      <c r="N60" s="68" t="s">
        <v>314</v>
      </c>
      <c r="O60" s="68" t="s">
        <v>335</v>
      </c>
      <c r="P60" s="68" t="s">
        <v>333</v>
      </c>
    </row>
    <row r="61" spans="1:16" s="20" customFormat="1" x14ac:dyDescent="0.25">
      <c r="A61" s="66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5</v>
      </c>
      <c r="M61" s="59">
        <v>36</v>
      </c>
      <c r="N61" s="59">
        <v>1080</v>
      </c>
      <c r="O61" s="59">
        <f>P61-N61-M61-L61</f>
        <v>4</v>
      </c>
      <c r="P61" s="59">
        <v>1125</v>
      </c>
    </row>
    <row r="62" spans="1:16" s="20" customFormat="1" x14ac:dyDescent="0.25">
      <c r="A62" s="66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0x2B</v>
      </c>
      <c r="J62" s="20" t="str">
        <f>DEC2HEX(MOD(K62,256))</f>
        <v>2B</v>
      </c>
      <c r="K62" s="37">
        <f>L58-1</f>
        <v>43</v>
      </c>
      <c r="L62" s="71" t="s">
        <v>336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50</v>
      </c>
      <c r="M63" s="72"/>
      <c r="N63" s="72"/>
      <c r="O63" s="72"/>
      <c r="P63" s="72"/>
    </row>
    <row r="64" spans="1:16" s="20" customFormat="1" x14ac:dyDescent="0.25">
      <c r="A64" s="66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0x04</v>
      </c>
      <c r="J66" s="20" t="str">
        <f>DEC2HEX(MOD(K66,256))</f>
        <v>4</v>
      </c>
      <c r="K66" s="37">
        <f>L61-1</f>
        <v>4</v>
      </c>
      <c r="L66" s="37"/>
    </row>
    <row r="67" spans="1:12" s="20" customFormat="1" x14ac:dyDescent="0.25">
      <c r="A67" s="66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0xC0</v>
      </c>
      <c r="J68" s="20" t="str">
        <f>DEC2HEX(MOD(K68,256))</f>
        <v>C0</v>
      </c>
      <c r="K68" s="37">
        <f>L58+M58</f>
        <v>192</v>
      </c>
      <c r="L68" s="37"/>
    </row>
    <row r="69" spans="1:12" s="20" customFormat="1" x14ac:dyDescent="0.25">
      <c r="A69" s="66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0x00</v>
      </c>
      <c r="J69" s="20" t="str">
        <f>DEC2HEX((K68-MOD(K68,256))/256)</f>
        <v>0</v>
      </c>
      <c r="K69" s="37"/>
      <c r="L69" s="37"/>
    </row>
    <row r="70" spans="1:12" s="20" customFormat="1" x14ac:dyDescent="0.25">
      <c r="A70" s="66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0x3F</v>
      </c>
      <c r="J70" s="20" t="str">
        <f>DEC2HEX(MOD(K70,256))</f>
        <v>3F</v>
      </c>
      <c r="K70" s="37">
        <f>L58+M58+N58-1</f>
        <v>2111</v>
      </c>
      <c r="L70" s="37"/>
    </row>
    <row r="71" spans="1:12" s="20" customFormat="1" x14ac:dyDescent="0.25">
      <c r="A71" s="66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0x08</v>
      </c>
      <c r="J71" s="20" t="str">
        <f>DEC2HEX((K70-MOD(K70,256))/256)</f>
        <v>8</v>
      </c>
      <c r="K71" s="37"/>
      <c r="L71" s="37"/>
    </row>
    <row r="72" spans="1:12" s="20" customFormat="1" x14ac:dyDescent="0.25">
      <c r="A72" s="66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0x29</v>
      </c>
      <c r="J72" s="20" t="str">
        <f>DEC2HEX(MOD(K72,256))</f>
        <v>29</v>
      </c>
      <c r="K72" s="37">
        <f>L61+M61</f>
        <v>41</v>
      </c>
      <c r="L72" s="37"/>
    </row>
    <row r="73" spans="1:12" s="20" customFormat="1" x14ac:dyDescent="0.25">
      <c r="A73" s="66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0x60</v>
      </c>
      <c r="J74" s="20" t="str">
        <f>DEC2HEX(MOD(K74,256))</f>
        <v>60</v>
      </c>
      <c r="K74" s="37">
        <f>L61+M61+N61-1</f>
        <v>1120</v>
      </c>
      <c r="L74" s="37"/>
    </row>
    <row r="75" spans="1:12" s="20" customFormat="1" x14ac:dyDescent="0.25">
      <c r="A75" s="66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0x04</v>
      </c>
      <c r="J75" s="20" t="str">
        <f>DEC2HEX((K74-MOD(K74,256))/256)</f>
        <v>4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66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262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66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261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124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</protectedRanges>
  <mergeCells count="10">
    <mergeCell ref="A1:C1"/>
    <mergeCell ref="A47:C47"/>
    <mergeCell ref="A6:C6"/>
    <mergeCell ref="A54:C54"/>
    <mergeCell ref="A78:C78"/>
    <mergeCell ref="D102:G102"/>
    <mergeCell ref="L56:P56"/>
    <mergeCell ref="L59:P59"/>
    <mergeCell ref="L62:P62"/>
    <mergeCell ref="L63:P63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U103"/>
  <sheetViews>
    <sheetView topLeftCell="A52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570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230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J11" s="55"/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J12" s="55"/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J13" s="55"/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J14" s="55"/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J15" s="55"/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J16" s="55"/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J17" s="55"/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J18" s="55"/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J19" s="55"/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71</v>
      </c>
      <c r="G20" s="24" t="s">
        <v>41</v>
      </c>
      <c r="H20" s="21" t="s">
        <v>33</v>
      </c>
      <c r="I20" s="21" t="s">
        <v>40</v>
      </c>
      <c r="J20" s="55"/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J21" s="55"/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73</v>
      </c>
      <c r="G22" s="24" t="s">
        <v>41</v>
      </c>
      <c r="H22" s="21" t="s">
        <v>33</v>
      </c>
      <c r="I22" s="21" t="s">
        <v>40</v>
      </c>
      <c r="J22" s="55"/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255</v>
      </c>
      <c r="G23" s="22" t="s">
        <v>39</v>
      </c>
      <c r="H23" s="21" t="s">
        <v>33</v>
      </c>
      <c r="I23" s="21" t="s">
        <v>76</v>
      </c>
      <c r="J23" s="55"/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79</v>
      </c>
      <c r="J24" s="55"/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79</v>
      </c>
      <c r="J25" s="55"/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79</v>
      </c>
      <c r="J26" s="55"/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82</v>
      </c>
      <c r="G27" s="24" t="s">
        <v>41</v>
      </c>
      <c r="H27" s="21" t="s">
        <v>33</v>
      </c>
      <c r="I27" s="21" t="s">
        <v>83</v>
      </c>
      <c r="J27" s="55"/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79</v>
      </c>
      <c r="J28" s="55"/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87</v>
      </c>
      <c r="G29" s="24" t="s">
        <v>41</v>
      </c>
      <c r="H29" s="21" t="s">
        <v>33</v>
      </c>
      <c r="I29" s="21" t="s">
        <v>40</v>
      </c>
      <c r="J29" s="55"/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J30" s="55"/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J31" s="55"/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J32" s="55"/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97</v>
      </c>
      <c r="J33" s="55"/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96</v>
      </c>
      <c r="G34" s="24" t="s">
        <v>41</v>
      </c>
      <c r="H34" s="21" t="s">
        <v>33</v>
      </c>
      <c r="I34" s="21" t="s">
        <v>98</v>
      </c>
      <c r="J34" s="55"/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J35" s="55"/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101</v>
      </c>
      <c r="J36" s="55"/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50</v>
      </c>
      <c r="G37" s="22" t="s">
        <v>39</v>
      </c>
      <c r="H37" s="21" t="s">
        <v>33</v>
      </c>
      <c r="I37" s="21" t="s">
        <v>40</v>
      </c>
      <c r="J37" s="55"/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J38" s="55"/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J39" s="55"/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J40" s="55"/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31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241</v>
      </c>
      <c r="G42" s="22" t="s">
        <v>39</v>
      </c>
      <c r="H42" s="21" t="s">
        <v>33</v>
      </c>
      <c r="I42" s="21" t="s">
        <v>129</v>
      </c>
      <c r="K42" s="37"/>
      <c r="L42" s="37"/>
    </row>
    <row r="43" spans="1:12" s="20" customFormat="1" x14ac:dyDescent="0.25">
      <c r="A43" s="31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31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243</v>
      </c>
      <c r="G44" s="22" t="s">
        <v>39</v>
      </c>
      <c r="H44" s="21" t="s">
        <v>33</v>
      </c>
      <c r="I44" s="21" t="s">
        <v>116</v>
      </c>
      <c r="K44" s="37"/>
      <c r="L44" s="37"/>
    </row>
    <row r="45" spans="1:12" s="20" customFormat="1" x14ac:dyDescent="0.25">
      <c r="A45" s="53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53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576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1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21" t="s">
        <v>225</v>
      </c>
      <c r="K49" s="37"/>
      <c r="L49" s="37"/>
    </row>
    <row r="50" spans="1:16" s="20" customFormat="1" x14ac:dyDescent="0.25">
      <c r="A50" s="31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224</v>
      </c>
      <c r="K50" s="37"/>
      <c r="L50" s="37"/>
    </row>
    <row r="51" spans="1:16" s="20" customFormat="1" x14ac:dyDescent="0.25">
      <c r="A51" s="31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220</v>
      </c>
      <c r="K51" s="37"/>
      <c r="L51" s="37"/>
    </row>
    <row r="52" spans="1:16" s="20" customFormat="1" x14ac:dyDescent="0.25">
      <c r="A52" s="53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53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236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31" t="s">
        <v>143</v>
      </c>
      <c r="B56" s="32" t="s">
        <v>158</v>
      </c>
      <c r="C56" s="32" t="s">
        <v>159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0x97</v>
      </c>
      <c r="J56" s="20" t="str">
        <f>DEC2HEX(MOD(K56,256))</f>
        <v>97</v>
      </c>
      <c r="K56" s="37">
        <f>P58-1</f>
        <v>2199</v>
      </c>
      <c r="L56" s="71" t="s">
        <v>319</v>
      </c>
      <c r="M56" s="71"/>
      <c r="N56" s="71"/>
      <c r="O56" s="71"/>
      <c r="P56" s="71"/>
    </row>
    <row r="57" spans="1:16" s="20" customFormat="1" x14ac:dyDescent="0.25">
      <c r="A57" s="31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144</v>
      </c>
      <c r="G57" s="24" t="s">
        <v>41</v>
      </c>
      <c r="H57" s="21" t="s">
        <v>33</v>
      </c>
      <c r="I57" s="21" t="str">
        <f t="shared" ref="I57:I75" si="0">"0x"&amp;TEXT(J57,"00")</f>
        <v>0x08</v>
      </c>
      <c r="J57" s="20" t="str">
        <f>DEC2HEX((K56-MOD(K56,256))/256)</f>
        <v>8</v>
      </c>
      <c r="K57" s="37"/>
      <c r="L57" s="68" t="s">
        <v>295</v>
      </c>
      <c r="M57" s="68" t="s">
        <v>309</v>
      </c>
      <c r="N57" s="68" t="s">
        <v>298</v>
      </c>
      <c r="O57" s="68" t="s">
        <v>300</v>
      </c>
      <c r="P57" s="68" t="s">
        <v>302</v>
      </c>
    </row>
    <row r="58" spans="1:16" s="20" customFormat="1" x14ac:dyDescent="0.25">
      <c r="A58" s="31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0x64</v>
      </c>
      <c r="J58" s="20" t="str">
        <f>DEC2HEX(MOD(K58,256))</f>
        <v>64</v>
      </c>
      <c r="K58" s="37">
        <f>P61-1</f>
        <v>1124</v>
      </c>
      <c r="L58" s="59">
        <v>44</v>
      </c>
      <c r="M58" s="59">
        <v>148</v>
      </c>
      <c r="N58" s="59">
        <v>1920</v>
      </c>
      <c r="O58" s="59">
        <f>P58-N58-M58-L58</f>
        <v>88</v>
      </c>
      <c r="P58" s="59">
        <v>2200</v>
      </c>
    </row>
    <row r="59" spans="1:16" s="20" customFormat="1" x14ac:dyDescent="0.25">
      <c r="A59" s="31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71" t="s">
        <v>303</v>
      </c>
      <c r="M59" s="71"/>
      <c r="N59" s="71"/>
      <c r="O59" s="71"/>
      <c r="P59" s="71"/>
    </row>
    <row r="60" spans="1:16" s="20" customFormat="1" x14ac:dyDescent="0.25">
      <c r="A60" s="31" t="s">
        <v>143</v>
      </c>
      <c r="B60" s="32" t="s">
        <v>161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320</v>
      </c>
      <c r="M60" s="68" t="s">
        <v>321</v>
      </c>
      <c r="N60" s="68" t="s">
        <v>322</v>
      </c>
      <c r="O60" s="68" t="s">
        <v>323</v>
      </c>
      <c r="P60" s="68" t="s">
        <v>324</v>
      </c>
    </row>
    <row r="61" spans="1:16" s="20" customFormat="1" x14ac:dyDescent="0.25">
      <c r="A61" s="31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5</v>
      </c>
      <c r="M61" s="59">
        <v>36</v>
      </c>
      <c r="N61" s="59">
        <v>1080</v>
      </c>
      <c r="O61" s="59">
        <f>P61-N61-M61-L61</f>
        <v>4</v>
      </c>
      <c r="P61" s="59">
        <v>1125</v>
      </c>
    </row>
    <row r="62" spans="1:16" s="20" customFormat="1" x14ac:dyDescent="0.25">
      <c r="A62" s="31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0x2B</v>
      </c>
      <c r="J62" s="20" t="str">
        <f>DEC2HEX(MOD(K62,256))</f>
        <v>2B</v>
      </c>
      <c r="K62" s="37">
        <f>L58-1</f>
        <v>43</v>
      </c>
      <c r="L62" s="71" t="s">
        <v>305</v>
      </c>
      <c r="M62" s="71"/>
      <c r="N62" s="71"/>
      <c r="O62" s="71"/>
      <c r="P62" s="71"/>
    </row>
    <row r="63" spans="1:16" s="20" customFormat="1" x14ac:dyDescent="0.25">
      <c r="A63" s="31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60</v>
      </c>
      <c r="M63" s="72"/>
      <c r="N63" s="72"/>
      <c r="O63" s="72"/>
      <c r="P63" s="72"/>
    </row>
    <row r="64" spans="1:16" s="20" customFormat="1" x14ac:dyDescent="0.25">
      <c r="A64" s="31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148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31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31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0x04</v>
      </c>
      <c r="J66" s="20" t="str">
        <f>DEC2HEX(MOD(K66,256))</f>
        <v>4</v>
      </c>
      <c r="K66" s="37">
        <f>L61-1</f>
        <v>4</v>
      </c>
      <c r="L66" s="37"/>
    </row>
    <row r="67" spans="1:12" s="20" customFormat="1" x14ac:dyDescent="0.25">
      <c r="A67" s="31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31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0xC0</v>
      </c>
      <c r="J68" s="20" t="str">
        <f>DEC2HEX(MOD(K68,256))</f>
        <v>C0</v>
      </c>
      <c r="K68" s="37">
        <f>L58+M58</f>
        <v>192</v>
      </c>
      <c r="L68" s="37"/>
    </row>
    <row r="69" spans="1:12" s="20" customFormat="1" x14ac:dyDescent="0.25">
      <c r="A69" s="31" t="s">
        <v>143</v>
      </c>
      <c r="B69" s="32" t="s">
        <v>169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0x00</v>
      </c>
      <c r="J69" s="20" t="str">
        <f>DEC2HEX((K68-MOD(K68,256))/256)</f>
        <v>0</v>
      </c>
      <c r="K69" s="37"/>
      <c r="L69" s="37"/>
    </row>
    <row r="70" spans="1:12" s="20" customFormat="1" x14ac:dyDescent="0.25">
      <c r="A70" s="31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0x3F</v>
      </c>
      <c r="J70" s="20" t="str">
        <f>DEC2HEX(MOD(K70,256))</f>
        <v>3F</v>
      </c>
      <c r="K70" s="37">
        <f>L58+M58+N58-1</f>
        <v>2111</v>
      </c>
      <c r="L70" s="37"/>
    </row>
    <row r="71" spans="1:12" s="20" customFormat="1" x14ac:dyDescent="0.25">
      <c r="A71" s="31" t="s">
        <v>143</v>
      </c>
      <c r="B71" s="32" t="s">
        <v>171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0x08</v>
      </c>
      <c r="J71" s="20" t="str">
        <f>DEC2HEX((K70-MOD(K70,256))/256)</f>
        <v>8</v>
      </c>
      <c r="K71" s="37"/>
      <c r="L71" s="37"/>
    </row>
    <row r="72" spans="1:12" s="20" customFormat="1" x14ac:dyDescent="0.25">
      <c r="A72" s="31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0x29</v>
      </c>
      <c r="J72" s="20" t="str">
        <f>DEC2HEX(MOD(K72,256))</f>
        <v>29</v>
      </c>
      <c r="K72" s="37">
        <f>L61+M61</f>
        <v>41</v>
      </c>
      <c r="L72" s="37"/>
    </row>
    <row r="73" spans="1:12" s="20" customFormat="1" x14ac:dyDescent="0.25">
      <c r="A73" s="31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31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0x60</v>
      </c>
      <c r="J74" s="20" t="str">
        <f>DEC2HEX(MOD(K74,256))</f>
        <v>60</v>
      </c>
      <c r="K74" s="37">
        <f>L61+M61+N61-1</f>
        <v>1120</v>
      </c>
      <c r="L74" s="37"/>
    </row>
    <row r="75" spans="1:12" s="20" customFormat="1" x14ac:dyDescent="0.25">
      <c r="A75" s="31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0x04</v>
      </c>
      <c r="J75" s="20" t="str">
        <f>DEC2HEX((K74-MOD(K74,256))/256)</f>
        <v>4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245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247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249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31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227</v>
      </c>
      <c r="K91" s="37"/>
      <c r="L91" s="37"/>
    </row>
    <row r="92" spans="1:12" s="20" customFormat="1" x14ac:dyDescent="0.25">
      <c r="A92" s="31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31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228</v>
      </c>
      <c r="K93" s="37"/>
      <c r="L93" s="37"/>
    </row>
    <row r="94" spans="1:12" s="20" customFormat="1" x14ac:dyDescent="0.25">
      <c r="A94" s="31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213</v>
      </c>
      <c r="G95" s="22" t="s">
        <v>39</v>
      </c>
      <c r="H95" s="21" t="s">
        <v>33</v>
      </c>
      <c r="I95" s="21" t="s">
        <v>217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  <protectedRange password="EBC5" sqref="J11:J40" name="範圍1_3_3_1_1_1_2_1_1_2_1_3"/>
  </protectedRanges>
  <mergeCells count="10">
    <mergeCell ref="D102:G102"/>
    <mergeCell ref="A54:C54"/>
    <mergeCell ref="A78:C78"/>
    <mergeCell ref="L56:P56"/>
    <mergeCell ref="L59:P59"/>
    <mergeCell ref="L62:P62"/>
    <mergeCell ref="L63:P63"/>
    <mergeCell ref="A1:C1"/>
    <mergeCell ref="A47:C47"/>
    <mergeCell ref="A6:C6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FF00"/>
  </sheetPr>
  <dimension ref="A1:U103"/>
  <sheetViews>
    <sheetView topLeftCell="A37" zoomScale="115" zoomScaleNormal="115" workbookViewId="0">
      <selection activeCell="L64" sqref="L6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s="20" customFormat="1" ht="27" x14ac:dyDescent="0.25">
      <c r="A1" s="73" t="s">
        <v>570</v>
      </c>
      <c r="B1" s="73"/>
      <c r="C1" s="73"/>
      <c r="D1" s="46"/>
      <c r="E1" s="47"/>
      <c r="F1" s="48"/>
      <c r="G1" s="48"/>
      <c r="H1" s="49"/>
      <c r="I1" s="13" t="s">
        <v>28</v>
      </c>
      <c r="J1" s="37"/>
      <c r="K1" s="37"/>
      <c r="L1" s="37"/>
    </row>
    <row r="2" spans="1:12" s="20" customFormat="1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  <c r="J2" s="37"/>
      <c r="K2" s="37"/>
      <c r="L2" s="37"/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s="20" customFormat="1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  <c r="J6" s="37"/>
      <c r="K6" s="37"/>
      <c r="L6" s="37"/>
    </row>
    <row r="7" spans="1:12" s="20" customFormat="1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  <c r="J7" s="37"/>
      <c r="K7" s="37"/>
      <c r="L7" s="37"/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J11" s="55"/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J12" s="55"/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J13" s="55"/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J14" s="55"/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J15" s="55"/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J16" s="55"/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J17" s="55"/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J18" s="55"/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J19" s="55"/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J20" s="55"/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J21" s="55"/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J22" s="55"/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J23" s="55"/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J24" s="55"/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J25" s="55"/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J26" s="55"/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J27" s="55"/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J28" s="55"/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J29" s="55"/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J30" s="55"/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J31" s="55"/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J32" s="55"/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J33" s="55"/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J34" s="55"/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J35" s="55"/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J36" s="55"/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50</v>
      </c>
      <c r="G37" s="22" t="s">
        <v>39</v>
      </c>
      <c r="H37" s="21" t="s">
        <v>33</v>
      </c>
      <c r="I37" s="21" t="s">
        <v>40</v>
      </c>
      <c r="J37" s="55"/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J38" s="55"/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J39" s="55"/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J40" s="55"/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31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31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31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116</v>
      </c>
      <c r="K44" s="37"/>
      <c r="L44" s="37"/>
    </row>
    <row r="45" spans="1:12" s="20" customFormat="1" x14ac:dyDescent="0.25">
      <c r="A45" s="53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53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574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1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21" t="s">
        <v>225</v>
      </c>
      <c r="K49" s="37"/>
      <c r="L49" s="37"/>
    </row>
    <row r="50" spans="1:16" s="20" customFormat="1" x14ac:dyDescent="0.25">
      <c r="A50" s="31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114</v>
      </c>
      <c r="G50" s="24" t="s">
        <v>41</v>
      </c>
      <c r="H50" s="21" t="s">
        <v>33</v>
      </c>
      <c r="I50" s="21" t="s">
        <v>224</v>
      </c>
      <c r="K50" s="37"/>
      <c r="L50" s="37"/>
    </row>
    <row r="51" spans="1:16" s="20" customFormat="1" x14ac:dyDescent="0.25">
      <c r="A51" s="31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220</v>
      </c>
      <c r="K51" s="37"/>
      <c r="L51" s="37"/>
    </row>
    <row r="52" spans="1:16" s="20" customFormat="1" x14ac:dyDescent="0.25">
      <c r="A52" s="53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53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235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31" t="s">
        <v>143</v>
      </c>
      <c r="B56" s="32" t="s">
        <v>158</v>
      </c>
      <c r="C56" s="32" t="s">
        <v>155</v>
      </c>
      <c r="D56" s="21" t="s">
        <v>37</v>
      </c>
      <c r="E56" s="21" t="s">
        <v>38</v>
      </c>
      <c r="F56" s="21" t="s">
        <v>114</v>
      </c>
      <c r="G56" s="22" t="s">
        <v>39</v>
      </c>
      <c r="H56" s="21" t="s">
        <v>33</v>
      </c>
      <c r="I56" s="21" t="str">
        <f>"0x"&amp;TEXT(J56,"00")</f>
        <v>0xE3</v>
      </c>
      <c r="J56" s="20" t="str">
        <f>DEC2HEX(MOD(K56,256))</f>
        <v>E3</v>
      </c>
      <c r="K56" s="37">
        <f>P58-1</f>
        <v>3299</v>
      </c>
      <c r="L56" s="71" t="s">
        <v>580</v>
      </c>
      <c r="M56" s="71"/>
      <c r="N56" s="71"/>
      <c r="O56" s="71"/>
      <c r="P56" s="71"/>
    </row>
    <row r="57" spans="1:16" s="20" customFormat="1" x14ac:dyDescent="0.25">
      <c r="A57" s="31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0xC</v>
      </c>
      <c r="J57" s="20" t="str">
        <f>DEC2HEX((K56-MOD(K56,256))/256)</f>
        <v>C</v>
      </c>
      <c r="K57" s="37"/>
      <c r="L57" s="68" t="s">
        <v>581</v>
      </c>
      <c r="M57" s="68" t="s">
        <v>582</v>
      </c>
      <c r="N57" s="68" t="s">
        <v>583</v>
      </c>
      <c r="O57" s="68" t="s">
        <v>584</v>
      </c>
      <c r="P57" s="68" t="s">
        <v>585</v>
      </c>
    </row>
    <row r="58" spans="1:16" s="20" customFormat="1" x14ac:dyDescent="0.25">
      <c r="A58" s="31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0xDB</v>
      </c>
      <c r="J58" s="20" t="str">
        <f>DEC2HEX(MOD(K58,256))</f>
        <v>DB</v>
      </c>
      <c r="K58" s="37">
        <f>P61-1</f>
        <v>1499</v>
      </c>
      <c r="L58" s="59">
        <v>80</v>
      </c>
      <c r="M58" s="59">
        <v>440</v>
      </c>
      <c r="N58" s="59">
        <v>2560</v>
      </c>
      <c r="O58" s="59">
        <f>P58-N58-M58-L58</f>
        <v>220</v>
      </c>
      <c r="P58" s="59">
        <v>3300</v>
      </c>
    </row>
    <row r="59" spans="1:16" s="20" customFormat="1" x14ac:dyDescent="0.25">
      <c r="A59" s="31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116</v>
      </c>
      <c r="G59" s="24" t="s">
        <v>41</v>
      </c>
      <c r="H59" s="21" t="s">
        <v>33</v>
      </c>
      <c r="I59" s="21" t="str">
        <f t="shared" si="0"/>
        <v>0x05</v>
      </c>
      <c r="J59" s="20" t="str">
        <f>DEC2HEX((K58-MOD(K58,256))/256)</f>
        <v>5</v>
      </c>
      <c r="K59" s="37"/>
      <c r="L59" s="71" t="s">
        <v>316</v>
      </c>
      <c r="M59" s="71"/>
      <c r="N59" s="71"/>
      <c r="O59" s="71"/>
      <c r="P59" s="71"/>
    </row>
    <row r="60" spans="1:16" s="20" customFormat="1" x14ac:dyDescent="0.25">
      <c r="A60" s="31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308</v>
      </c>
      <c r="M60" s="68" t="s">
        <v>297</v>
      </c>
      <c r="N60" s="68" t="s">
        <v>298</v>
      </c>
      <c r="O60" s="68" t="s">
        <v>300</v>
      </c>
      <c r="P60" s="68" t="s">
        <v>302</v>
      </c>
    </row>
    <row r="61" spans="1:16" s="20" customFormat="1" x14ac:dyDescent="0.25">
      <c r="A61" s="31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10</v>
      </c>
      <c r="M61" s="59">
        <v>40</v>
      </c>
      <c r="N61" s="59">
        <v>1440</v>
      </c>
      <c r="O61" s="59">
        <f>P61-N61-M61-L61</f>
        <v>10</v>
      </c>
      <c r="P61" s="59">
        <v>1500</v>
      </c>
    </row>
    <row r="62" spans="1:16" s="20" customFormat="1" x14ac:dyDescent="0.25">
      <c r="A62" s="31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133</v>
      </c>
      <c r="G62" s="22" t="s">
        <v>39</v>
      </c>
      <c r="H62" s="21" t="s">
        <v>33</v>
      </c>
      <c r="I62" s="21" t="str">
        <f t="shared" si="0"/>
        <v>0x4F</v>
      </c>
      <c r="J62" s="20" t="str">
        <f>DEC2HEX(MOD(K62,256))</f>
        <v>4F</v>
      </c>
      <c r="K62" s="37">
        <f>L58-1</f>
        <v>79</v>
      </c>
      <c r="L62" s="71" t="s">
        <v>586</v>
      </c>
      <c r="M62" s="71"/>
      <c r="N62" s="71"/>
      <c r="O62" s="71"/>
      <c r="P62" s="71"/>
    </row>
    <row r="63" spans="1:16" s="20" customFormat="1" x14ac:dyDescent="0.25">
      <c r="A63" s="31" t="s">
        <v>143</v>
      </c>
      <c r="B63" s="32" t="s">
        <v>162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30</v>
      </c>
      <c r="M63" s="72"/>
      <c r="N63" s="72"/>
      <c r="O63" s="72"/>
      <c r="P63" s="72"/>
    </row>
    <row r="64" spans="1:16" s="20" customFormat="1" x14ac:dyDescent="0.25">
      <c r="A64" s="31" t="s">
        <v>143</v>
      </c>
      <c r="B64" s="32" t="s">
        <v>164</v>
      </c>
      <c r="C64" s="32" t="s">
        <v>155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31" t="s">
        <v>143</v>
      </c>
      <c r="B65" s="32" t="s">
        <v>164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31" t="s">
        <v>143</v>
      </c>
      <c r="B66" s="32" t="s">
        <v>166</v>
      </c>
      <c r="C66" s="32" t="s">
        <v>155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0x09</v>
      </c>
      <c r="J66" s="20" t="str">
        <f>DEC2HEX(MOD(K66,256))</f>
        <v>9</v>
      </c>
      <c r="K66" s="37">
        <f>L61-1</f>
        <v>9</v>
      </c>
      <c r="L66" s="37"/>
    </row>
    <row r="67" spans="1:12" s="20" customFormat="1" x14ac:dyDescent="0.25">
      <c r="A67" s="31" t="s">
        <v>143</v>
      </c>
      <c r="B67" s="32" t="s">
        <v>166</v>
      </c>
      <c r="C67" s="32"/>
      <c r="D67" s="21" t="s">
        <v>37</v>
      </c>
      <c r="E67" s="21" t="s">
        <v>38</v>
      </c>
      <c r="F67" s="21" t="s">
        <v>149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31" t="s">
        <v>143</v>
      </c>
      <c r="B68" s="32" t="s">
        <v>168</v>
      </c>
      <c r="C68" s="32" t="s">
        <v>155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0x08</v>
      </c>
      <c r="J68" s="20" t="str">
        <f>DEC2HEX(MOD(K68,256))</f>
        <v>8</v>
      </c>
      <c r="K68" s="37">
        <f>L58+M58</f>
        <v>520</v>
      </c>
      <c r="L68" s="37"/>
    </row>
    <row r="69" spans="1:12" s="20" customFormat="1" x14ac:dyDescent="0.25">
      <c r="A69" s="31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0x02</v>
      </c>
      <c r="J69" s="20" t="str">
        <f>DEC2HEX((K68-MOD(K68,256))/256)</f>
        <v>2</v>
      </c>
      <c r="K69" s="37"/>
      <c r="L69" s="37"/>
    </row>
    <row r="70" spans="1:12" s="20" customFormat="1" x14ac:dyDescent="0.25">
      <c r="A70" s="31" t="s">
        <v>143</v>
      </c>
      <c r="B70" s="32" t="s">
        <v>170</v>
      </c>
      <c r="C70" s="32" t="s">
        <v>155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0x07</v>
      </c>
      <c r="J70" s="20" t="str">
        <f>DEC2HEX(MOD(K70,256))</f>
        <v>7</v>
      </c>
      <c r="K70" s="37">
        <f>L58+M58+N58-1</f>
        <v>3079</v>
      </c>
      <c r="L70" s="37"/>
    </row>
    <row r="71" spans="1:12" s="20" customFormat="1" x14ac:dyDescent="0.25">
      <c r="A71" s="31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51</v>
      </c>
      <c r="G71" s="24" t="s">
        <v>41</v>
      </c>
      <c r="H71" s="21" t="s">
        <v>33</v>
      </c>
      <c r="I71" s="21" t="str">
        <f t="shared" si="0"/>
        <v>0xC</v>
      </c>
      <c r="J71" s="20" t="str">
        <f>DEC2HEX((K70-MOD(K70,256))/256)</f>
        <v>C</v>
      </c>
      <c r="K71" s="37"/>
      <c r="L71" s="37"/>
    </row>
    <row r="72" spans="1:12" s="20" customFormat="1" x14ac:dyDescent="0.25">
      <c r="A72" s="31" t="s">
        <v>143</v>
      </c>
      <c r="B72" s="32" t="s">
        <v>172</v>
      </c>
      <c r="C72" s="32" t="s">
        <v>155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0x32</v>
      </c>
      <c r="J72" s="20" t="str">
        <f>DEC2HEX(MOD(K72,256))</f>
        <v>32</v>
      </c>
      <c r="K72" s="37">
        <f>L61+M61</f>
        <v>50</v>
      </c>
      <c r="L72" s="37"/>
    </row>
    <row r="73" spans="1:12" s="20" customFormat="1" x14ac:dyDescent="0.25">
      <c r="A73" s="31" t="s">
        <v>143</v>
      </c>
      <c r="B73" s="32" t="s">
        <v>172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31" t="s">
        <v>143</v>
      </c>
      <c r="B74" s="32" t="s">
        <v>174</v>
      </c>
      <c r="C74" s="32" t="s">
        <v>155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0xD1</v>
      </c>
      <c r="J74" s="20" t="str">
        <f>DEC2HEX(MOD(K74,256))</f>
        <v>D1</v>
      </c>
      <c r="K74" s="37">
        <f>L61+M61+N61-1</f>
        <v>1489</v>
      </c>
      <c r="L74" s="37"/>
    </row>
    <row r="75" spans="1:12" s="20" customFormat="1" x14ac:dyDescent="0.25">
      <c r="A75" s="31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153</v>
      </c>
      <c r="G75" s="24" t="s">
        <v>41</v>
      </c>
      <c r="H75" s="21" t="s">
        <v>33</v>
      </c>
      <c r="I75" s="21" t="str">
        <f t="shared" si="0"/>
        <v>0x05</v>
      </c>
      <c r="J75" s="20" t="str">
        <f>DEC2HEX((K74-MOD(K74,256))/256)</f>
        <v>5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52</v>
      </c>
      <c r="G81" s="22" t="s">
        <v>39</v>
      </c>
      <c r="H81" s="21" t="s">
        <v>33</v>
      </c>
      <c r="I81" s="21" t="s">
        <v>58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183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118</v>
      </c>
      <c r="K90" s="37"/>
      <c r="L90" s="37"/>
    </row>
    <row r="91" spans="1:12" s="20" customFormat="1" x14ac:dyDescent="0.25">
      <c r="A91" s="31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227</v>
      </c>
      <c r="K91" s="37"/>
      <c r="L91" s="37"/>
    </row>
    <row r="92" spans="1:12" s="20" customFormat="1" x14ac:dyDescent="0.25">
      <c r="A92" s="31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31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142</v>
      </c>
      <c r="G93" s="22" t="s">
        <v>39</v>
      </c>
      <c r="H93" s="21" t="s">
        <v>33</v>
      </c>
      <c r="I93" s="21" t="s">
        <v>114</v>
      </c>
      <c r="K93" s="37"/>
      <c r="L93" s="37"/>
    </row>
    <row r="94" spans="1:12" s="20" customFormat="1" x14ac:dyDescent="0.25">
      <c r="A94" s="31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142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123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288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288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s="20" customFormat="1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J102" s="37"/>
    </row>
    <row r="103" spans="1:12" s="20" customFormat="1" x14ac:dyDescent="0.25">
      <c r="B103" s="44"/>
      <c r="F103" s="30"/>
      <c r="G103" s="30"/>
      <c r="H103" s="30"/>
      <c r="I103" s="39"/>
      <c r="J103" s="37"/>
      <c r="K103" s="37"/>
      <c r="L103" s="37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  <protectedRange password="EBC5" sqref="J11:J40" name="範圍1_3_3_1_1_1_2_1_1_2_1_3"/>
  </protectedRanges>
  <mergeCells count="10">
    <mergeCell ref="D102:G102"/>
    <mergeCell ref="A1:C1"/>
    <mergeCell ref="A47:C47"/>
    <mergeCell ref="A6:C6"/>
    <mergeCell ref="A54:C54"/>
    <mergeCell ref="L56:P56"/>
    <mergeCell ref="L59:P59"/>
    <mergeCell ref="L62:P62"/>
    <mergeCell ref="L63:P63"/>
    <mergeCell ref="A78:C78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FF00"/>
  </sheetPr>
  <dimension ref="A1:U103"/>
  <sheetViews>
    <sheetView topLeftCell="A40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s="20" customFormat="1" ht="27" x14ac:dyDescent="0.25">
      <c r="A1" s="73" t="s">
        <v>571</v>
      </c>
      <c r="B1" s="73"/>
      <c r="C1" s="73"/>
      <c r="D1" s="46"/>
      <c r="E1" s="47"/>
      <c r="F1" s="48"/>
      <c r="G1" s="48"/>
      <c r="H1" s="49"/>
      <c r="I1" s="13" t="s">
        <v>361</v>
      </c>
      <c r="J1" s="37"/>
      <c r="K1" s="37"/>
      <c r="L1" s="37"/>
    </row>
    <row r="2" spans="1:12" s="20" customFormat="1" x14ac:dyDescent="0.25">
      <c r="A2" s="14" t="s">
        <v>362</v>
      </c>
      <c r="B2" s="43" t="s">
        <v>363</v>
      </c>
      <c r="C2" s="15" t="s">
        <v>12</v>
      </c>
      <c r="D2" s="16" t="s">
        <v>364</v>
      </c>
      <c r="E2" s="17" t="s">
        <v>14</v>
      </c>
      <c r="F2" s="16" t="s">
        <v>15</v>
      </c>
      <c r="G2" s="16" t="s">
        <v>16</v>
      </c>
      <c r="H2" s="18" t="s">
        <v>365</v>
      </c>
      <c r="I2" s="19" t="s">
        <v>29</v>
      </c>
      <c r="J2" s="37"/>
      <c r="K2" s="37"/>
      <c r="L2" s="37"/>
    </row>
    <row r="3" spans="1:12" s="20" customFormat="1" x14ac:dyDescent="0.25">
      <c r="A3" s="31" t="s">
        <v>136</v>
      </c>
      <c r="B3" s="32" t="s">
        <v>106</v>
      </c>
      <c r="C3" s="32" t="s">
        <v>366</v>
      </c>
      <c r="D3" s="21" t="s">
        <v>104</v>
      </c>
      <c r="E3" s="21" t="s">
        <v>38</v>
      </c>
      <c r="F3" s="21" t="s">
        <v>367</v>
      </c>
      <c r="G3" s="22" t="s">
        <v>368</v>
      </c>
      <c r="H3" s="21" t="s">
        <v>33</v>
      </c>
      <c r="I3" s="21" t="s">
        <v>369</v>
      </c>
      <c r="K3" s="37"/>
      <c r="L3" s="37"/>
    </row>
    <row r="6" spans="1:12" s="20" customFormat="1" ht="27" x14ac:dyDescent="0.25">
      <c r="A6" s="73" t="s">
        <v>360</v>
      </c>
      <c r="B6" s="73"/>
      <c r="C6" s="73"/>
      <c r="D6" s="46"/>
      <c r="E6" s="47"/>
      <c r="F6" s="48"/>
      <c r="G6" s="48"/>
      <c r="H6" s="49"/>
      <c r="I6" s="13" t="s">
        <v>361</v>
      </c>
      <c r="J6" s="37"/>
      <c r="K6" s="37"/>
      <c r="L6" s="37"/>
    </row>
    <row r="7" spans="1:12" s="20" customFormat="1" x14ac:dyDescent="0.25">
      <c r="A7" s="14" t="s">
        <v>362</v>
      </c>
      <c r="B7" s="43" t="s">
        <v>363</v>
      </c>
      <c r="C7" s="15" t="s">
        <v>12</v>
      </c>
      <c r="D7" s="16" t="s">
        <v>364</v>
      </c>
      <c r="E7" s="17" t="s">
        <v>14</v>
      </c>
      <c r="F7" s="16" t="s">
        <v>15</v>
      </c>
      <c r="G7" s="16" t="s">
        <v>16</v>
      </c>
      <c r="H7" s="18" t="s">
        <v>365</v>
      </c>
      <c r="I7" s="19" t="s">
        <v>29</v>
      </c>
      <c r="J7" s="37"/>
      <c r="K7" s="37"/>
      <c r="L7" s="37"/>
    </row>
    <row r="8" spans="1:12" s="20" customFormat="1" x14ac:dyDescent="0.25">
      <c r="A8" s="31" t="s">
        <v>370</v>
      </c>
      <c r="B8" s="32" t="s">
        <v>47</v>
      </c>
      <c r="C8" s="32"/>
      <c r="D8" s="21" t="s">
        <v>371</v>
      </c>
      <c r="E8" s="21" t="s">
        <v>38</v>
      </c>
      <c r="F8" s="21" t="s">
        <v>372</v>
      </c>
      <c r="G8" s="22" t="s">
        <v>39</v>
      </c>
      <c r="H8" s="21" t="s">
        <v>33</v>
      </c>
      <c r="I8" s="21" t="s">
        <v>373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374</v>
      </c>
      <c r="G9" s="24" t="s">
        <v>41</v>
      </c>
      <c r="H9" s="21" t="s">
        <v>33</v>
      </c>
      <c r="I9" s="21" t="s">
        <v>375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376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377</v>
      </c>
      <c r="G11" s="22" t="s">
        <v>39</v>
      </c>
      <c r="H11" s="21" t="s">
        <v>33</v>
      </c>
      <c r="I11" s="21" t="s">
        <v>50</v>
      </c>
      <c r="K11" s="37"/>
      <c r="L11" s="37"/>
    </row>
    <row r="12" spans="1:12" s="20" customFormat="1" x14ac:dyDescent="0.25">
      <c r="A12" s="31" t="s">
        <v>370</v>
      </c>
      <c r="B12" s="32" t="s">
        <v>378</v>
      </c>
      <c r="C12" s="32"/>
      <c r="D12" s="21" t="s">
        <v>379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369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380</v>
      </c>
      <c r="G13" s="22" t="s">
        <v>39</v>
      </c>
      <c r="H13" s="21" t="s">
        <v>33</v>
      </c>
      <c r="I13" s="21" t="s">
        <v>369</v>
      </c>
      <c r="K13" s="37"/>
      <c r="L13" s="37"/>
    </row>
    <row r="14" spans="1:12" s="20" customFormat="1" x14ac:dyDescent="0.25">
      <c r="A14" s="31" t="s">
        <v>370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381</v>
      </c>
      <c r="K14" s="37"/>
      <c r="L14" s="37"/>
    </row>
    <row r="15" spans="1:12" s="20" customFormat="1" x14ac:dyDescent="0.25">
      <c r="A15" s="31" t="s">
        <v>370</v>
      </c>
      <c r="B15" s="32" t="s">
        <v>382</v>
      </c>
      <c r="C15" s="32"/>
      <c r="D15" s="21" t="s">
        <v>379</v>
      </c>
      <c r="E15" s="21" t="s">
        <v>38</v>
      </c>
      <c r="F15" s="21" t="s">
        <v>383</v>
      </c>
      <c r="G15" s="22" t="s">
        <v>39</v>
      </c>
      <c r="H15" s="21" t="s">
        <v>33</v>
      </c>
      <c r="I15" s="21" t="s">
        <v>385</v>
      </c>
      <c r="K15" s="37"/>
      <c r="L15" s="37"/>
    </row>
    <row r="16" spans="1:12" s="20" customFormat="1" x14ac:dyDescent="0.25">
      <c r="A16" s="31" t="s">
        <v>370</v>
      </c>
      <c r="B16" s="32" t="s">
        <v>386</v>
      </c>
      <c r="C16" s="32"/>
      <c r="D16" s="21" t="s">
        <v>36</v>
      </c>
      <c r="E16" s="21" t="s">
        <v>38</v>
      </c>
      <c r="F16" s="21" t="s">
        <v>383</v>
      </c>
      <c r="G16" s="24" t="s">
        <v>387</v>
      </c>
      <c r="H16" s="21" t="s">
        <v>33</v>
      </c>
      <c r="I16" s="21" t="s">
        <v>385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379</v>
      </c>
      <c r="E17" s="21" t="s">
        <v>38</v>
      </c>
      <c r="F17" s="21" t="s">
        <v>388</v>
      </c>
      <c r="G17" s="22" t="s">
        <v>39</v>
      </c>
      <c r="H17" s="21" t="s">
        <v>33</v>
      </c>
      <c r="I17" s="21" t="s">
        <v>385</v>
      </c>
      <c r="K17" s="37"/>
      <c r="L17" s="37"/>
    </row>
    <row r="18" spans="1:12" s="20" customFormat="1" x14ac:dyDescent="0.25">
      <c r="A18" s="31" t="s">
        <v>370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368</v>
      </c>
      <c r="H18" s="21" t="s">
        <v>33</v>
      </c>
      <c r="I18" s="21" t="s">
        <v>389</v>
      </c>
      <c r="K18" s="37"/>
      <c r="L18" s="37"/>
    </row>
    <row r="19" spans="1:12" s="20" customFormat="1" x14ac:dyDescent="0.25">
      <c r="A19" s="31" t="s">
        <v>370</v>
      </c>
      <c r="B19" s="32" t="s">
        <v>63</v>
      </c>
      <c r="C19" s="32"/>
      <c r="D19" s="21" t="s">
        <v>379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385</v>
      </c>
      <c r="K19" s="37"/>
      <c r="L19" s="37"/>
    </row>
    <row r="20" spans="1:12" s="20" customFormat="1" x14ac:dyDescent="0.25">
      <c r="A20" s="31" t="s">
        <v>370</v>
      </c>
      <c r="B20" s="32" t="s">
        <v>64</v>
      </c>
      <c r="C20" s="32"/>
      <c r="D20" s="21" t="s">
        <v>379</v>
      </c>
      <c r="E20" s="21" t="s">
        <v>38</v>
      </c>
      <c r="F20" s="21" t="s">
        <v>390</v>
      </c>
      <c r="G20" s="24" t="s">
        <v>41</v>
      </c>
      <c r="H20" s="21" t="s">
        <v>33</v>
      </c>
      <c r="I20" s="21" t="s">
        <v>384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385</v>
      </c>
      <c r="K21" s="37"/>
      <c r="L21" s="37"/>
    </row>
    <row r="22" spans="1:12" s="20" customFormat="1" x14ac:dyDescent="0.25">
      <c r="A22" s="31" t="s">
        <v>370</v>
      </c>
      <c r="B22" s="32" t="s">
        <v>66</v>
      </c>
      <c r="C22" s="32"/>
      <c r="D22" s="21" t="s">
        <v>36</v>
      </c>
      <c r="E22" s="21" t="s">
        <v>38</v>
      </c>
      <c r="F22" s="21" t="s">
        <v>391</v>
      </c>
      <c r="G22" s="24" t="s">
        <v>368</v>
      </c>
      <c r="H22" s="21" t="s">
        <v>33</v>
      </c>
      <c r="I22" s="21" t="s">
        <v>369</v>
      </c>
      <c r="K22" s="37"/>
      <c r="L22" s="37"/>
    </row>
    <row r="23" spans="1:12" s="20" customFormat="1" x14ac:dyDescent="0.25">
      <c r="A23" s="31" t="s">
        <v>370</v>
      </c>
      <c r="B23" s="32" t="s">
        <v>74</v>
      </c>
      <c r="C23" s="32" t="s">
        <v>392</v>
      </c>
      <c r="D23" s="21" t="s">
        <v>36</v>
      </c>
      <c r="E23" s="21" t="s">
        <v>38</v>
      </c>
      <c r="F23" s="21" t="s">
        <v>393</v>
      </c>
      <c r="G23" s="22" t="s">
        <v>39</v>
      </c>
      <c r="H23" s="21" t="s">
        <v>33</v>
      </c>
      <c r="I23" s="21" t="s">
        <v>394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371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395</v>
      </c>
      <c r="K24" s="37"/>
      <c r="L24" s="37"/>
    </row>
    <row r="25" spans="1:12" s="20" customFormat="1" x14ac:dyDescent="0.25">
      <c r="A25" s="31" t="s">
        <v>370</v>
      </c>
      <c r="B25" s="32" t="s">
        <v>396</v>
      </c>
      <c r="C25" s="32"/>
      <c r="D25" s="21" t="s">
        <v>36</v>
      </c>
      <c r="E25" s="21" t="s">
        <v>38</v>
      </c>
      <c r="F25" s="21" t="s">
        <v>397</v>
      </c>
      <c r="G25" s="24" t="s">
        <v>368</v>
      </c>
      <c r="H25" s="21" t="s">
        <v>33</v>
      </c>
      <c r="I25" s="21" t="s">
        <v>398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399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370</v>
      </c>
      <c r="B27" s="32" t="s">
        <v>84</v>
      </c>
      <c r="C27" s="32"/>
      <c r="D27" s="21" t="s">
        <v>371</v>
      </c>
      <c r="E27" s="21" t="s">
        <v>38</v>
      </c>
      <c r="F27" s="21" t="s">
        <v>400</v>
      </c>
      <c r="G27" s="24" t="s">
        <v>368</v>
      </c>
      <c r="H27" s="21" t="s">
        <v>33</v>
      </c>
      <c r="I27" s="21" t="s">
        <v>52</v>
      </c>
      <c r="K27" s="37"/>
      <c r="L27" s="37"/>
    </row>
    <row r="28" spans="1:12" s="20" customFormat="1" ht="25.5" x14ac:dyDescent="0.25">
      <c r="A28" s="31" t="s">
        <v>370</v>
      </c>
      <c r="B28" s="50" t="s">
        <v>401</v>
      </c>
      <c r="C28" s="32"/>
      <c r="D28" s="21" t="s">
        <v>36</v>
      </c>
      <c r="E28" s="21" t="s">
        <v>38</v>
      </c>
      <c r="F28" s="21" t="s">
        <v>402</v>
      </c>
      <c r="G28" s="22" t="s">
        <v>39</v>
      </c>
      <c r="H28" s="21" t="s">
        <v>33</v>
      </c>
      <c r="I28" s="21" t="s">
        <v>376</v>
      </c>
      <c r="K28" s="37"/>
      <c r="L28" s="37"/>
    </row>
    <row r="29" spans="1:12" s="20" customFormat="1" x14ac:dyDescent="0.25">
      <c r="A29" s="31" t="s">
        <v>370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381</v>
      </c>
      <c r="K29" s="37"/>
      <c r="L29" s="37"/>
    </row>
    <row r="30" spans="1:12" s="20" customFormat="1" x14ac:dyDescent="0.25">
      <c r="A30" s="31" t="s">
        <v>370</v>
      </c>
      <c r="B30" s="32" t="s">
        <v>403</v>
      </c>
      <c r="C30" s="32"/>
      <c r="D30" s="21" t="s">
        <v>379</v>
      </c>
      <c r="E30" s="21" t="s">
        <v>38</v>
      </c>
      <c r="F30" s="21" t="s">
        <v>404</v>
      </c>
      <c r="G30" s="22" t="s">
        <v>39</v>
      </c>
      <c r="H30" s="21" t="s">
        <v>33</v>
      </c>
      <c r="I30" s="21" t="s">
        <v>50</v>
      </c>
      <c r="K30" s="37"/>
      <c r="L30" s="37"/>
    </row>
    <row r="31" spans="1:12" s="20" customFormat="1" x14ac:dyDescent="0.25">
      <c r="A31" s="31" t="s">
        <v>370</v>
      </c>
      <c r="B31" s="32" t="s">
        <v>405</v>
      </c>
      <c r="C31" s="32"/>
      <c r="D31" s="21" t="s">
        <v>379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369</v>
      </c>
      <c r="K31" s="37"/>
      <c r="L31" s="37"/>
    </row>
    <row r="32" spans="1:12" s="20" customFormat="1" ht="25.5" x14ac:dyDescent="0.25">
      <c r="A32" s="31" t="s">
        <v>406</v>
      </c>
      <c r="B32" s="50" t="s">
        <v>407</v>
      </c>
      <c r="C32" s="32"/>
      <c r="D32" s="21" t="s">
        <v>379</v>
      </c>
      <c r="E32" s="21" t="s">
        <v>38</v>
      </c>
      <c r="F32" s="21" t="s">
        <v>408</v>
      </c>
      <c r="G32" s="22" t="s">
        <v>39</v>
      </c>
      <c r="H32" s="21" t="s">
        <v>33</v>
      </c>
      <c r="I32" s="21" t="s">
        <v>50</v>
      </c>
      <c r="K32" s="37"/>
      <c r="L32" s="37"/>
    </row>
    <row r="33" spans="1:12" s="20" customFormat="1" x14ac:dyDescent="0.25">
      <c r="A33" s="31" t="s">
        <v>370</v>
      </c>
      <c r="B33" s="32" t="s">
        <v>409</v>
      </c>
      <c r="C33" s="32"/>
      <c r="D33" s="21" t="s">
        <v>36</v>
      </c>
      <c r="E33" s="21" t="s">
        <v>38</v>
      </c>
      <c r="F33" s="21" t="s">
        <v>410</v>
      </c>
      <c r="G33" s="22" t="s">
        <v>39</v>
      </c>
      <c r="H33" s="21" t="s">
        <v>33</v>
      </c>
      <c r="I33" s="21" t="s">
        <v>404</v>
      </c>
      <c r="K33" s="37"/>
      <c r="L33" s="37"/>
    </row>
    <row r="34" spans="1:12" s="20" customFormat="1" x14ac:dyDescent="0.25">
      <c r="A34" s="31" t="s">
        <v>370</v>
      </c>
      <c r="B34" s="32" t="s">
        <v>411</v>
      </c>
      <c r="C34" s="32"/>
      <c r="D34" s="21" t="s">
        <v>379</v>
      </c>
      <c r="E34" s="21" t="s">
        <v>38</v>
      </c>
      <c r="F34" s="21" t="s">
        <v>93</v>
      </c>
      <c r="G34" s="24" t="s">
        <v>412</v>
      </c>
      <c r="H34" s="21" t="s">
        <v>33</v>
      </c>
      <c r="I34" s="21" t="s">
        <v>404</v>
      </c>
      <c r="K34" s="37"/>
      <c r="L34" s="37"/>
    </row>
    <row r="35" spans="1:12" s="20" customFormat="1" x14ac:dyDescent="0.25">
      <c r="A35" s="31" t="s">
        <v>108</v>
      </c>
      <c r="B35" s="32" t="s">
        <v>413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88</v>
      </c>
      <c r="K35" s="37"/>
      <c r="L35" s="37"/>
    </row>
    <row r="36" spans="1:12" s="20" customFormat="1" x14ac:dyDescent="0.25">
      <c r="A36" s="31" t="s">
        <v>406</v>
      </c>
      <c r="B36" s="32" t="s">
        <v>414</v>
      </c>
      <c r="C36" s="32"/>
      <c r="D36" s="21" t="s">
        <v>379</v>
      </c>
      <c r="E36" s="21" t="s">
        <v>38</v>
      </c>
      <c r="F36" s="21" t="s">
        <v>415</v>
      </c>
      <c r="G36" s="24" t="s">
        <v>387</v>
      </c>
      <c r="H36" s="21" t="s">
        <v>33</v>
      </c>
      <c r="I36" s="21" t="s">
        <v>69</v>
      </c>
      <c r="K36" s="37"/>
      <c r="L36" s="37"/>
    </row>
    <row r="37" spans="1:12" s="20" customFormat="1" x14ac:dyDescent="0.25">
      <c r="A37" s="31" t="s">
        <v>108</v>
      </c>
      <c r="B37" s="32" t="s">
        <v>416</v>
      </c>
      <c r="C37" s="32" t="s">
        <v>103</v>
      </c>
      <c r="D37" s="21" t="s">
        <v>371</v>
      </c>
      <c r="E37" s="21" t="s">
        <v>38</v>
      </c>
      <c r="F37" s="21" t="s">
        <v>369</v>
      </c>
      <c r="G37" s="22" t="s">
        <v>39</v>
      </c>
      <c r="H37" s="21" t="s">
        <v>33</v>
      </c>
      <c r="I37" s="21" t="s">
        <v>381</v>
      </c>
      <c r="K37" s="37"/>
      <c r="L37" s="37"/>
    </row>
    <row r="38" spans="1:12" s="20" customFormat="1" x14ac:dyDescent="0.25">
      <c r="A38" s="31" t="s">
        <v>417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418</v>
      </c>
      <c r="G38" s="22" t="s">
        <v>39</v>
      </c>
      <c r="H38" s="21" t="s">
        <v>33</v>
      </c>
      <c r="I38" s="21" t="s">
        <v>369</v>
      </c>
      <c r="K38" s="37"/>
      <c r="L38" s="37"/>
    </row>
    <row r="39" spans="1:12" s="20" customFormat="1" x14ac:dyDescent="0.25">
      <c r="A39" s="31" t="s">
        <v>290</v>
      </c>
      <c r="B39" s="32" t="s">
        <v>419</v>
      </c>
      <c r="C39" s="32" t="s">
        <v>420</v>
      </c>
      <c r="D39" s="21" t="s">
        <v>36</v>
      </c>
      <c r="E39" s="21" t="s">
        <v>38</v>
      </c>
      <c r="F39" s="21" t="s">
        <v>421</v>
      </c>
      <c r="G39" s="24" t="s">
        <v>412</v>
      </c>
      <c r="H39" s="21" t="s">
        <v>33</v>
      </c>
      <c r="I39" s="21" t="s">
        <v>50</v>
      </c>
      <c r="K39" s="37"/>
      <c r="L39" s="37"/>
    </row>
    <row r="40" spans="1:12" s="20" customFormat="1" x14ac:dyDescent="0.25">
      <c r="A40" s="31" t="s">
        <v>290</v>
      </c>
      <c r="B40" s="32" t="s">
        <v>422</v>
      </c>
      <c r="C40" s="32" t="s">
        <v>126</v>
      </c>
      <c r="D40" s="21" t="s">
        <v>371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369</v>
      </c>
      <c r="K40" s="37"/>
      <c r="L40" s="37"/>
    </row>
    <row r="41" spans="1:12" s="20" customFormat="1" x14ac:dyDescent="0.25">
      <c r="A41" s="31" t="s">
        <v>423</v>
      </c>
      <c r="B41" s="32" t="s">
        <v>424</v>
      </c>
      <c r="C41" s="32" t="s">
        <v>126</v>
      </c>
      <c r="D41" s="21" t="s">
        <v>379</v>
      </c>
      <c r="E41" s="21" t="s">
        <v>38</v>
      </c>
      <c r="F41" s="21" t="s">
        <v>425</v>
      </c>
      <c r="G41" s="24" t="s">
        <v>41</v>
      </c>
      <c r="H41" s="21" t="s">
        <v>33</v>
      </c>
      <c r="I41" s="21" t="s">
        <v>369</v>
      </c>
      <c r="K41" s="37"/>
      <c r="L41" s="37"/>
    </row>
    <row r="42" spans="1:12" s="20" customFormat="1" x14ac:dyDescent="0.25">
      <c r="A42" s="66" t="s">
        <v>426</v>
      </c>
      <c r="B42" s="32" t="s">
        <v>427</v>
      </c>
      <c r="C42" s="32" t="s">
        <v>428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429</v>
      </c>
      <c r="K42" s="37"/>
      <c r="L42" s="37"/>
    </row>
    <row r="43" spans="1:12" s="20" customFormat="1" x14ac:dyDescent="0.25">
      <c r="A43" s="66" t="s">
        <v>109</v>
      </c>
      <c r="B43" s="32" t="s">
        <v>430</v>
      </c>
      <c r="C43" s="32" t="s">
        <v>428</v>
      </c>
      <c r="D43" s="21" t="s">
        <v>36</v>
      </c>
      <c r="E43" s="21" t="s">
        <v>38</v>
      </c>
      <c r="F43" s="21" t="s">
        <v>431</v>
      </c>
      <c r="G43" s="24" t="s">
        <v>368</v>
      </c>
      <c r="H43" s="21" t="s">
        <v>33</v>
      </c>
      <c r="I43" s="21" t="s">
        <v>425</v>
      </c>
      <c r="K43" s="37"/>
      <c r="L43" s="37"/>
    </row>
    <row r="44" spans="1:12" s="20" customFormat="1" ht="38.25" x14ac:dyDescent="0.25">
      <c r="A44" s="66" t="s">
        <v>109</v>
      </c>
      <c r="B44" s="50" t="s">
        <v>432</v>
      </c>
      <c r="C44" s="32"/>
      <c r="D44" s="21" t="s">
        <v>371</v>
      </c>
      <c r="E44" s="21" t="s">
        <v>38</v>
      </c>
      <c r="F44" s="21" t="s">
        <v>433</v>
      </c>
      <c r="G44" s="22" t="s">
        <v>39</v>
      </c>
      <c r="H44" s="21" t="s">
        <v>33</v>
      </c>
      <c r="I44" s="21" t="s">
        <v>50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574</v>
      </c>
      <c r="B47" s="73"/>
      <c r="C47" s="73"/>
      <c r="D47" s="46"/>
      <c r="E47" s="47"/>
      <c r="F47" s="48"/>
      <c r="G47" s="48"/>
      <c r="H47" s="49"/>
      <c r="I47" s="13" t="s">
        <v>361</v>
      </c>
      <c r="K47" s="37"/>
      <c r="L47" s="37"/>
    </row>
    <row r="48" spans="1:12" s="20" customFormat="1" x14ac:dyDescent="0.25">
      <c r="A48" s="14" t="s">
        <v>10</v>
      </c>
      <c r="B48" s="43" t="s">
        <v>363</v>
      </c>
      <c r="C48" s="15" t="s">
        <v>447</v>
      </c>
      <c r="D48" s="16" t="s">
        <v>364</v>
      </c>
      <c r="E48" s="17" t="s">
        <v>448</v>
      </c>
      <c r="F48" s="16" t="s">
        <v>15</v>
      </c>
      <c r="G48" s="16" t="s">
        <v>16</v>
      </c>
      <c r="H48" s="18" t="s">
        <v>449</v>
      </c>
      <c r="I48" s="19" t="s">
        <v>450</v>
      </c>
      <c r="K48" s="37"/>
      <c r="L48" s="37"/>
    </row>
    <row r="49" spans="1:16" s="20" customFormat="1" x14ac:dyDescent="0.25">
      <c r="A49" s="67" t="s">
        <v>434</v>
      </c>
      <c r="B49" s="62" t="s">
        <v>435</v>
      </c>
      <c r="C49" s="62" t="s">
        <v>436</v>
      </c>
      <c r="D49" s="63" t="s">
        <v>437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438</v>
      </c>
      <c r="K49" s="37"/>
      <c r="L49" s="37"/>
    </row>
    <row r="50" spans="1:16" s="20" customFormat="1" x14ac:dyDescent="0.25">
      <c r="A50" s="66" t="s">
        <v>439</v>
      </c>
      <c r="B50" s="32" t="s">
        <v>440</v>
      </c>
      <c r="C50" s="32" t="s">
        <v>441</v>
      </c>
      <c r="D50" s="21" t="s">
        <v>442</v>
      </c>
      <c r="E50" s="21" t="s">
        <v>38</v>
      </c>
      <c r="F50" s="21" t="s">
        <v>114</v>
      </c>
      <c r="G50" s="24" t="s">
        <v>412</v>
      </c>
      <c r="H50" s="21" t="s">
        <v>33</v>
      </c>
      <c r="I50" s="21" t="s">
        <v>443</v>
      </c>
      <c r="K50" s="37"/>
      <c r="L50" s="37"/>
    </row>
    <row r="51" spans="1:16" s="20" customFormat="1" x14ac:dyDescent="0.25">
      <c r="A51" s="66" t="s">
        <v>109</v>
      </c>
      <c r="B51" s="32" t="s">
        <v>444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445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446</v>
      </c>
      <c r="B54" s="73"/>
      <c r="C54" s="73"/>
      <c r="D54" s="46"/>
      <c r="E54" s="47"/>
      <c r="F54" s="48"/>
      <c r="G54" s="48"/>
      <c r="H54" s="49"/>
      <c r="I54" s="13" t="s">
        <v>361</v>
      </c>
      <c r="K54" s="37"/>
      <c r="L54" s="37"/>
    </row>
    <row r="55" spans="1:16" s="20" customFormat="1" x14ac:dyDescent="0.25">
      <c r="A55" s="14" t="s">
        <v>10</v>
      </c>
      <c r="B55" s="43" t="s">
        <v>363</v>
      </c>
      <c r="C55" s="15" t="s">
        <v>447</v>
      </c>
      <c r="D55" s="16" t="s">
        <v>364</v>
      </c>
      <c r="E55" s="17" t="s">
        <v>448</v>
      </c>
      <c r="F55" s="16" t="s">
        <v>15</v>
      </c>
      <c r="G55" s="16" t="s">
        <v>16</v>
      </c>
      <c r="H55" s="18" t="s">
        <v>449</v>
      </c>
      <c r="I55" s="19" t="s">
        <v>450</v>
      </c>
      <c r="K55" s="37"/>
      <c r="L55" s="37"/>
    </row>
    <row r="56" spans="1:16" s="20" customFormat="1" x14ac:dyDescent="0.25">
      <c r="A56" s="66" t="s">
        <v>451</v>
      </c>
      <c r="B56" s="32" t="s">
        <v>158</v>
      </c>
      <c r="C56" s="32" t="s">
        <v>155</v>
      </c>
      <c r="D56" s="21" t="s">
        <v>37</v>
      </c>
      <c r="E56" s="21" t="s">
        <v>38</v>
      </c>
      <c r="F56" s="21" t="s">
        <v>452</v>
      </c>
      <c r="G56" s="22" t="s">
        <v>39</v>
      </c>
      <c r="H56" s="21" t="s">
        <v>33</v>
      </c>
      <c r="I56" s="21" t="str">
        <f>"0x"&amp;TEXT(J56,"00")</f>
        <v>0x2F</v>
      </c>
      <c r="J56" s="20" t="str">
        <f>DEC2HEX(MOD(K56,256))</f>
        <v>2F</v>
      </c>
      <c r="K56" s="37">
        <f>P58-1</f>
        <v>4399</v>
      </c>
      <c r="L56" s="71" t="s">
        <v>531</v>
      </c>
      <c r="M56" s="71"/>
      <c r="N56" s="71"/>
      <c r="O56" s="71"/>
      <c r="P56" s="71"/>
    </row>
    <row r="57" spans="1:16" s="20" customFormat="1" x14ac:dyDescent="0.25">
      <c r="A57" s="66" t="s">
        <v>453</v>
      </c>
      <c r="B57" s="32" t="s">
        <v>454</v>
      </c>
      <c r="C57" s="32"/>
      <c r="D57" s="21" t="s">
        <v>455</v>
      </c>
      <c r="E57" s="21" t="s">
        <v>38</v>
      </c>
      <c r="F57" s="21" t="s">
        <v>114</v>
      </c>
      <c r="G57" s="24" t="s">
        <v>387</v>
      </c>
      <c r="H57" s="21" t="s">
        <v>33</v>
      </c>
      <c r="I57" s="21" t="str">
        <f t="shared" ref="I57:I75" si="0">"0x"&amp;TEXT(J57,"00")</f>
        <v>0x11</v>
      </c>
      <c r="J57" s="20" t="str">
        <f>DEC2HEX((K56-MOD(K56,256))/256)</f>
        <v>11</v>
      </c>
      <c r="K57" s="37"/>
      <c r="L57" s="68" t="s">
        <v>532</v>
      </c>
      <c r="M57" s="68" t="s">
        <v>533</v>
      </c>
      <c r="N57" s="68" t="s">
        <v>534</v>
      </c>
      <c r="O57" s="68" t="s">
        <v>300</v>
      </c>
      <c r="P57" s="68" t="s">
        <v>302</v>
      </c>
    </row>
    <row r="58" spans="1:16" s="20" customFormat="1" x14ac:dyDescent="0.25">
      <c r="A58" s="66" t="s">
        <v>457</v>
      </c>
      <c r="B58" s="32" t="s">
        <v>160</v>
      </c>
      <c r="C58" s="32" t="s">
        <v>155</v>
      </c>
      <c r="D58" s="21" t="s">
        <v>455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0xC9</v>
      </c>
      <c r="J58" s="20" t="str">
        <f>DEC2HEX(MOD(K58,256))</f>
        <v>C9</v>
      </c>
      <c r="K58" s="37">
        <f>P61-1</f>
        <v>2249</v>
      </c>
      <c r="L58" s="59">
        <v>88</v>
      </c>
      <c r="M58" s="59">
        <v>296</v>
      </c>
      <c r="N58" s="59">
        <v>3840</v>
      </c>
      <c r="O58" s="59">
        <f>P58-N58-M58-L58</f>
        <v>176</v>
      </c>
      <c r="P58" s="59">
        <v>4400</v>
      </c>
    </row>
    <row r="59" spans="1:16" s="20" customFormat="1" x14ac:dyDescent="0.25">
      <c r="A59" s="66" t="s">
        <v>453</v>
      </c>
      <c r="B59" s="32" t="s">
        <v>160</v>
      </c>
      <c r="C59" s="32"/>
      <c r="D59" s="21" t="s">
        <v>458</v>
      </c>
      <c r="E59" s="21" t="s">
        <v>38</v>
      </c>
      <c r="F59" s="21" t="s">
        <v>456</v>
      </c>
      <c r="G59" s="24" t="s">
        <v>368</v>
      </c>
      <c r="H59" s="21" t="s">
        <v>33</v>
      </c>
      <c r="I59" s="21" t="str">
        <f t="shared" si="0"/>
        <v>0x08</v>
      </c>
      <c r="J59" s="20" t="str">
        <f>DEC2HEX((K58-MOD(K58,256))/256)</f>
        <v>8</v>
      </c>
      <c r="K59" s="37"/>
      <c r="L59" s="71" t="s">
        <v>303</v>
      </c>
      <c r="M59" s="71"/>
      <c r="N59" s="71"/>
      <c r="O59" s="71"/>
      <c r="P59" s="71"/>
    </row>
    <row r="60" spans="1:16" s="20" customFormat="1" x14ac:dyDescent="0.25">
      <c r="A60" s="66" t="s">
        <v>453</v>
      </c>
      <c r="B60" s="32" t="s">
        <v>459</v>
      </c>
      <c r="C60" s="32" t="s">
        <v>155</v>
      </c>
      <c r="D60" s="21" t="s">
        <v>455</v>
      </c>
      <c r="E60" s="21" t="s">
        <v>38</v>
      </c>
      <c r="F60" s="21" t="s">
        <v>460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535</v>
      </c>
      <c r="M60" s="68" t="s">
        <v>533</v>
      </c>
      <c r="N60" s="68" t="s">
        <v>298</v>
      </c>
      <c r="O60" s="68" t="s">
        <v>300</v>
      </c>
      <c r="P60" s="68" t="s">
        <v>302</v>
      </c>
    </row>
    <row r="61" spans="1:16" s="20" customFormat="1" x14ac:dyDescent="0.25">
      <c r="A61" s="66" t="s">
        <v>457</v>
      </c>
      <c r="B61" s="32" t="s">
        <v>459</v>
      </c>
      <c r="C61" s="32"/>
      <c r="D61" s="21" t="s">
        <v>455</v>
      </c>
      <c r="E61" s="21" t="s">
        <v>38</v>
      </c>
      <c r="F61" s="21" t="s">
        <v>460</v>
      </c>
      <c r="G61" s="24" t="s">
        <v>387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10</v>
      </c>
      <c r="M61" s="59">
        <v>72</v>
      </c>
      <c r="N61" s="59">
        <v>2160</v>
      </c>
      <c r="O61" s="59">
        <f>P61-N61-M61-L61</f>
        <v>8</v>
      </c>
      <c r="P61" s="59">
        <v>2250</v>
      </c>
    </row>
    <row r="62" spans="1:16" s="20" customFormat="1" x14ac:dyDescent="0.25">
      <c r="A62" s="66" t="s">
        <v>143</v>
      </c>
      <c r="B62" s="32" t="s">
        <v>461</v>
      </c>
      <c r="C62" s="32" t="s">
        <v>462</v>
      </c>
      <c r="D62" s="21" t="s">
        <v>37</v>
      </c>
      <c r="E62" s="21" t="s">
        <v>38</v>
      </c>
      <c r="F62" s="21" t="s">
        <v>463</v>
      </c>
      <c r="G62" s="22" t="s">
        <v>39</v>
      </c>
      <c r="H62" s="21" t="s">
        <v>33</v>
      </c>
      <c r="I62" s="21" t="str">
        <f t="shared" si="0"/>
        <v>0x57</v>
      </c>
      <c r="J62" s="20" t="str">
        <f>DEC2HEX(MOD(K62,256))</f>
        <v>57</v>
      </c>
      <c r="K62" s="37">
        <f>L58-1</f>
        <v>87</v>
      </c>
      <c r="L62" s="71" t="s">
        <v>536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461</v>
      </c>
      <c r="C63" s="32"/>
      <c r="D63" s="21" t="s">
        <v>37</v>
      </c>
      <c r="E63" s="21" t="s">
        <v>38</v>
      </c>
      <c r="F63" s="21" t="s">
        <v>464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30</v>
      </c>
      <c r="M63" s="72"/>
      <c r="N63" s="72"/>
      <c r="O63" s="72"/>
      <c r="P63" s="72"/>
    </row>
    <row r="64" spans="1:16" s="20" customFormat="1" x14ac:dyDescent="0.25">
      <c r="A64" s="66" t="s">
        <v>453</v>
      </c>
      <c r="B64" s="32" t="s">
        <v>465</v>
      </c>
      <c r="C64" s="32" t="s">
        <v>155</v>
      </c>
      <c r="D64" s="21" t="s">
        <v>455</v>
      </c>
      <c r="E64" s="21" t="s">
        <v>38</v>
      </c>
      <c r="F64" s="21" t="s">
        <v>466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451</v>
      </c>
      <c r="B65" s="32" t="s">
        <v>465</v>
      </c>
      <c r="C65" s="32"/>
      <c r="D65" s="21" t="s">
        <v>458</v>
      </c>
      <c r="E65" s="21" t="s">
        <v>38</v>
      </c>
      <c r="F65" s="21" t="s">
        <v>389</v>
      </c>
      <c r="G65" s="24" t="s">
        <v>368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467</v>
      </c>
      <c r="C66" s="32" t="s">
        <v>468</v>
      </c>
      <c r="D66" s="21" t="s">
        <v>458</v>
      </c>
      <c r="E66" s="21" t="s">
        <v>38</v>
      </c>
      <c r="F66" s="21" t="s">
        <v>469</v>
      </c>
      <c r="G66" s="22" t="s">
        <v>39</v>
      </c>
      <c r="H66" s="21" t="s">
        <v>33</v>
      </c>
      <c r="I66" s="21" t="str">
        <f t="shared" si="0"/>
        <v>0x09</v>
      </c>
      <c r="J66" s="20" t="str">
        <f>DEC2HEX(MOD(K66,256))</f>
        <v>9</v>
      </c>
      <c r="K66" s="37">
        <f>L61-1</f>
        <v>9</v>
      </c>
      <c r="L66" s="37"/>
    </row>
    <row r="67" spans="1:12" s="20" customFormat="1" x14ac:dyDescent="0.25">
      <c r="A67" s="66" t="s">
        <v>143</v>
      </c>
      <c r="B67" s="32" t="s">
        <v>166</v>
      </c>
      <c r="C67" s="32"/>
      <c r="D67" s="21" t="s">
        <v>458</v>
      </c>
      <c r="E67" s="21" t="s">
        <v>38</v>
      </c>
      <c r="F67" s="21" t="s">
        <v>470</v>
      </c>
      <c r="G67" s="24" t="s">
        <v>368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471</v>
      </c>
      <c r="C68" s="32" t="s">
        <v>468</v>
      </c>
      <c r="D68" s="21" t="s">
        <v>455</v>
      </c>
      <c r="E68" s="21" t="s">
        <v>38</v>
      </c>
      <c r="F68" s="21" t="s">
        <v>374</v>
      </c>
      <c r="G68" s="22" t="s">
        <v>39</v>
      </c>
      <c r="H68" s="21" t="s">
        <v>33</v>
      </c>
      <c r="I68" s="21" t="str">
        <f t="shared" si="0"/>
        <v>0x80</v>
      </c>
      <c r="J68" s="20" t="str">
        <f>DEC2HEX(MOD(K68,256))</f>
        <v>80</v>
      </c>
      <c r="K68" s="37">
        <f>L58+M58</f>
        <v>384</v>
      </c>
      <c r="L68" s="37"/>
    </row>
    <row r="69" spans="1:12" s="20" customFormat="1" x14ac:dyDescent="0.25">
      <c r="A69" s="66" t="s">
        <v>451</v>
      </c>
      <c r="B69" s="32" t="s">
        <v>471</v>
      </c>
      <c r="C69" s="32"/>
      <c r="D69" s="21" t="s">
        <v>458</v>
      </c>
      <c r="E69" s="21" t="s">
        <v>38</v>
      </c>
      <c r="F69" s="21" t="s">
        <v>472</v>
      </c>
      <c r="G69" s="24" t="s">
        <v>41</v>
      </c>
      <c r="H69" s="21" t="s">
        <v>33</v>
      </c>
      <c r="I69" s="21" t="str">
        <f t="shared" si="0"/>
        <v>0x01</v>
      </c>
      <c r="J69" s="20" t="str">
        <f>DEC2HEX((K68-MOD(K68,256))/256)</f>
        <v>1</v>
      </c>
      <c r="K69" s="37"/>
      <c r="L69" s="37"/>
    </row>
    <row r="70" spans="1:12" s="20" customFormat="1" x14ac:dyDescent="0.25">
      <c r="A70" s="66" t="s">
        <v>143</v>
      </c>
      <c r="B70" s="32" t="s">
        <v>474</v>
      </c>
      <c r="C70" s="32" t="s">
        <v>462</v>
      </c>
      <c r="D70" s="21" t="s">
        <v>458</v>
      </c>
      <c r="E70" s="21" t="s">
        <v>38</v>
      </c>
      <c r="F70" s="21" t="s">
        <v>475</v>
      </c>
      <c r="G70" s="22" t="s">
        <v>39</v>
      </c>
      <c r="H70" s="21" t="s">
        <v>33</v>
      </c>
      <c r="I70" s="21" t="str">
        <f t="shared" si="0"/>
        <v>0x7F</v>
      </c>
      <c r="J70" s="20" t="str">
        <f>DEC2HEX(MOD(K70,256))</f>
        <v>7F</v>
      </c>
      <c r="K70" s="37">
        <f>L58+M58+N58-1</f>
        <v>4223</v>
      </c>
      <c r="L70" s="37"/>
    </row>
    <row r="71" spans="1:12" s="20" customFormat="1" x14ac:dyDescent="0.25">
      <c r="A71" s="66" t="s">
        <v>451</v>
      </c>
      <c r="B71" s="32" t="s">
        <v>170</v>
      </c>
      <c r="C71" s="32"/>
      <c r="D71" s="21" t="s">
        <v>455</v>
      </c>
      <c r="E71" s="21" t="s">
        <v>38</v>
      </c>
      <c r="F71" s="21" t="s">
        <v>476</v>
      </c>
      <c r="G71" s="24" t="s">
        <v>41</v>
      </c>
      <c r="H71" s="21" t="s">
        <v>33</v>
      </c>
      <c r="I71" s="21" t="str">
        <f t="shared" si="0"/>
        <v>0x10</v>
      </c>
      <c r="J71" s="20" t="str">
        <f>DEC2HEX((K70-MOD(K70,256))/256)</f>
        <v>10</v>
      </c>
      <c r="K71" s="37"/>
      <c r="L71" s="37"/>
    </row>
    <row r="72" spans="1:12" s="20" customFormat="1" x14ac:dyDescent="0.25">
      <c r="A72" s="66" t="s">
        <v>453</v>
      </c>
      <c r="B72" s="32" t="s">
        <v>172</v>
      </c>
      <c r="C72" s="32" t="s">
        <v>155</v>
      </c>
      <c r="D72" s="21" t="s">
        <v>458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0x52</v>
      </c>
      <c r="J72" s="20" t="str">
        <f>DEC2HEX(MOD(K72,256))</f>
        <v>52</v>
      </c>
      <c r="K72" s="37">
        <f>L61+M61</f>
        <v>82</v>
      </c>
      <c r="L72" s="37"/>
    </row>
    <row r="73" spans="1:12" s="20" customFormat="1" x14ac:dyDescent="0.25">
      <c r="A73" s="66" t="s">
        <v>143</v>
      </c>
      <c r="B73" s="32" t="s">
        <v>477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453</v>
      </c>
      <c r="B74" s="32" t="s">
        <v>478</v>
      </c>
      <c r="C74" s="32" t="s">
        <v>468</v>
      </c>
      <c r="D74" s="21" t="s">
        <v>37</v>
      </c>
      <c r="E74" s="21" t="s">
        <v>38</v>
      </c>
      <c r="F74" s="21" t="s">
        <v>479</v>
      </c>
      <c r="G74" s="22" t="s">
        <v>39</v>
      </c>
      <c r="H74" s="21" t="s">
        <v>33</v>
      </c>
      <c r="I74" s="21" t="str">
        <f t="shared" si="0"/>
        <v>0xC1</v>
      </c>
      <c r="J74" s="20" t="str">
        <f>DEC2HEX(MOD(K74,256))</f>
        <v>C1</v>
      </c>
      <c r="K74" s="37">
        <f>L61+M61+N61-1</f>
        <v>2241</v>
      </c>
      <c r="L74" s="37"/>
    </row>
    <row r="75" spans="1:12" s="20" customFormat="1" x14ac:dyDescent="0.25">
      <c r="A75" s="66" t="s">
        <v>451</v>
      </c>
      <c r="B75" s="32" t="s">
        <v>480</v>
      </c>
      <c r="C75" s="32"/>
      <c r="D75" s="21" t="s">
        <v>37</v>
      </c>
      <c r="E75" s="21" t="s">
        <v>38</v>
      </c>
      <c r="F75" s="21" t="s">
        <v>153</v>
      </c>
      <c r="G75" s="24" t="s">
        <v>387</v>
      </c>
      <c r="H75" s="21" t="s">
        <v>33</v>
      </c>
      <c r="I75" s="21" t="str">
        <f t="shared" si="0"/>
        <v>0x08</v>
      </c>
      <c r="J75" s="20" t="str">
        <f>DEC2HEX((K74-MOD(K74,256))/256)</f>
        <v>8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361</v>
      </c>
      <c r="K78" s="37"/>
      <c r="L78" s="37"/>
    </row>
    <row r="79" spans="1:12" s="20" customFormat="1" x14ac:dyDescent="0.25">
      <c r="A79" s="14" t="s">
        <v>481</v>
      </c>
      <c r="B79" s="43" t="s">
        <v>363</v>
      </c>
      <c r="C79" s="15" t="s">
        <v>12</v>
      </c>
      <c r="D79" s="16" t="s">
        <v>482</v>
      </c>
      <c r="E79" s="17" t="s">
        <v>14</v>
      </c>
      <c r="F79" s="16" t="s">
        <v>15</v>
      </c>
      <c r="G79" s="16" t="s">
        <v>483</v>
      </c>
      <c r="H79" s="18" t="s">
        <v>365</v>
      </c>
      <c r="I79" s="19" t="s">
        <v>450</v>
      </c>
      <c r="K79" s="37"/>
      <c r="L79" s="37"/>
    </row>
    <row r="80" spans="1:12" s="20" customFormat="1" x14ac:dyDescent="0.25">
      <c r="A80" s="31" t="s">
        <v>451</v>
      </c>
      <c r="B80" s="32" t="s">
        <v>177</v>
      </c>
      <c r="C80" s="32" t="s">
        <v>484</v>
      </c>
      <c r="D80" s="21" t="s">
        <v>455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473</v>
      </c>
      <c r="K80" s="37"/>
      <c r="L80" s="37"/>
    </row>
    <row r="81" spans="1:12" s="20" customFormat="1" x14ac:dyDescent="0.25">
      <c r="A81" s="31" t="s">
        <v>457</v>
      </c>
      <c r="B81" s="32" t="s">
        <v>485</v>
      </c>
      <c r="C81" s="32" t="s">
        <v>486</v>
      </c>
      <c r="D81" s="21" t="s">
        <v>458</v>
      </c>
      <c r="E81" s="21" t="s">
        <v>38</v>
      </c>
      <c r="F81" s="21" t="s">
        <v>52</v>
      </c>
      <c r="G81" s="22" t="s">
        <v>39</v>
      </c>
      <c r="H81" s="21" t="s">
        <v>33</v>
      </c>
      <c r="I81" s="21" t="s">
        <v>380</v>
      </c>
      <c r="K81" s="37"/>
      <c r="L81" s="37"/>
    </row>
    <row r="82" spans="1:12" s="20" customFormat="1" x14ac:dyDescent="0.25">
      <c r="A82" s="31" t="s">
        <v>451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487</v>
      </c>
      <c r="K82" s="37"/>
      <c r="L82" s="37"/>
    </row>
    <row r="83" spans="1:12" s="20" customFormat="1" ht="25.5" x14ac:dyDescent="0.25">
      <c r="A83" s="31" t="s">
        <v>451</v>
      </c>
      <c r="B83" s="50" t="s">
        <v>185</v>
      </c>
      <c r="C83" s="32" t="s">
        <v>488</v>
      </c>
      <c r="D83" s="21" t="s">
        <v>37</v>
      </c>
      <c r="E83" s="21" t="s">
        <v>38</v>
      </c>
      <c r="F83" s="21" t="s">
        <v>489</v>
      </c>
      <c r="G83" s="24" t="s">
        <v>368</v>
      </c>
      <c r="H83" s="21" t="s">
        <v>33</v>
      </c>
      <c r="I83" s="21" t="s">
        <v>369</v>
      </c>
      <c r="K83" s="37"/>
      <c r="L83" s="37"/>
    </row>
    <row r="84" spans="1:12" s="20" customFormat="1" x14ac:dyDescent="0.25">
      <c r="A84" s="31" t="s">
        <v>453</v>
      </c>
      <c r="B84" s="32" t="s">
        <v>490</v>
      </c>
      <c r="C84" s="32" t="s">
        <v>191</v>
      </c>
      <c r="D84" s="21" t="s">
        <v>37</v>
      </c>
      <c r="E84" s="21" t="s">
        <v>38</v>
      </c>
      <c r="F84" s="21" t="s">
        <v>491</v>
      </c>
      <c r="G84" s="22" t="s">
        <v>39</v>
      </c>
      <c r="H84" s="21" t="s">
        <v>33</v>
      </c>
      <c r="I84" s="21" t="s">
        <v>492</v>
      </c>
      <c r="K84" s="37"/>
      <c r="L84" s="37"/>
    </row>
    <row r="85" spans="1:12" s="20" customFormat="1" ht="25.5" x14ac:dyDescent="0.25">
      <c r="A85" s="31" t="s">
        <v>451</v>
      </c>
      <c r="B85" s="50" t="s">
        <v>190</v>
      </c>
      <c r="C85" s="32" t="s">
        <v>493</v>
      </c>
      <c r="D85" s="21" t="s">
        <v>458</v>
      </c>
      <c r="E85" s="21" t="s">
        <v>38</v>
      </c>
      <c r="F85" s="21" t="s">
        <v>494</v>
      </c>
      <c r="G85" s="24" t="s">
        <v>387</v>
      </c>
      <c r="H85" s="21" t="s">
        <v>33</v>
      </c>
      <c r="I85" s="21" t="s">
        <v>50</v>
      </c>
      <c r="K85" s="37"/>
      <c r="L85" s="37"/>
    </row>
    <row r="86" spans="1:12" s="20" customFormat="1" x14ac:dyDescent="0.25">
      <c r="A86" s="31" t="s">
        <v>451</v>
      </c>
      <c r="B86" s="32" t="s">
        <v>495</v>
      </c>
      <c r="C86" s="32" t="s">
        <v>496</v>
      </c>
      <c r="D86" s="21" t="s">
        <v>455</v>
      </c>
      <c r="E86" s="21" t="s">
        <v>38</v>
      </c>
      <c r="F86" s="21" t="s">
        <v>497</v>
      </c>
      <c r="G86" s="22" t="s">
        <v>39</v>
      </c>
      <c r="H86" s="21" t="s">
        <v>33</v>
      </c>
      <c r="I86" s="21" t="s">
        <v>381</v>
      </c>
      <c r="K86" s="37"/>
      <c r="L86" s="37"/>
    </row>
    <row r="87" spans="1:12" s="20" customFormat="1" ht="25.5" x14ac:dyDescent="0.25">
      <c r="A87" s="31" t="s">
        <v>451</v>
      </c>
      <c r="B87" s="50" t="s">
        <v>195</v>
      </c>
      <c r="C87" s="50" t="s">
        <v>498</v>
      </c>
      <c r="D87" s="21" t="s">
        <v>37</v>
      </c>
      <c r="E87" s="21" t="s">
        <v>38</v>
      </c>
      <c r="F87" s="21" t="s">
        <v>499</v>
      </c>
      <c r="G87" s="24" t="s">
        <v>368</v>
      </c>
      <c r="H87" s="21" t="s">
        <v>33</v>
      </c>
      <c r="I87" s="21" t="s">
        <v>500</v>
      </c>
      <c r="K87" s="37"/>
      <c r="L87" s="37"/>
    </row>
    <row r="88" spans="1:12" s="20" customFormat="1" ht="25.5" x14ac:dyDescent="0.25">
      <c r="A88" s="31" t="s">
        <v>143</v>
      </c>
      <c r="B88" s="50" t="s">
        <v>501</v>
      </c>
      <c r="C88" s="32" t="s">
        <v>502</v>
      </c>
      <c r="D88" s="21" t="s">
        <v>37</v>
      </c>
      <c r="E88" s="21" t="s">
        <v>38</v>
      </c>
      <c r="F88" s="21" t="s">
        <v>503</v>
      </c>
      <c r="G88" s="22" t="s">
        <v>39</v>
      </c>
      <c r="H88" s="21" t="s">
        <v>33</v>
      </c>
      <c r="I88" s="21" t="s">
        <v>504</v>
      </c>
      <c r="K88" s="37"/>
      <c r="L88" s="37"/>
    </row>
    <row r="89" spans="1:12" s="20" customFormat="1" x14ac:dyDescent="0.25">
      <c r="A89" s="31" t="s">
        <v>451</v>
      </c>
      <c r="B89" s="32" t="s">
        <v>505</v>
      </c>
      <c r="C89" s="32" t="s">
        <v>502</v>
      </c>
      <c r="D89" s="21" t="s">
        <v>37</v>
      </c>
      <c r="E89" s="21" t="s">
        <v>38</v>
      </c>
      <c r="F89" s="21" t="s">
        <v>506</v>
      </c>
      <c r="G89" s="24" t="s">
        <v>387</v>
      </c>
      <c r="H89" s="21" t="s">
        <v>33</v>
      </c>
      <c r="I89" s="21" t="s">
        <v>50</v>
      </c>
      <c r="K89" s="37"/>
      <c r="L89" s="37"/>
    </row>
    <row r="90" spans="1:12" s="20" customFormat="1" ht="25.5" x14ac:dyDescent="0.25">
      <c r="A90" s="31" t="s">
        <v>143</v>
      </c>
      <c r="B90" s="50" t="s">
        <v>507</v>
      </c>
      <c r="C90" s="32" t="s">
        <v>508</v>
      </c>
      <c r="D90" s="21" t="s">
        <v>37</v>
      </c>
      <c r="E90" s="21" t="s">
        <v>38</v>
      </c>
      <c r="F90" s="21" t="s">
        <v>509</v>
      </c>
      <c r="G90" s="22" t="s">
        <v>39</v>
      </c>
      <c r="H90" s="21" t="s">
        <v>33</v>
      </c>
      <c r="I90" s="21" t="s">
        <v>183</v>
      </c>
      <c r="K90" s="37"/>
      <c r="L90" s="37"/>
    </row>
    <row r="91" spans="1:12" s="20" customFormat="1" x14ac:dyDescent="0.25">
      <c r="A91" s="66" t="s">
        <v>453</v>
      </c>
      <c r="B91" s="32"/>
      <c r="C91" s="32" t="s">
        <v>207</v>
      </c>
      <c r="D91" s="21" t="s">
        <v>458</v>
      </c>
      <c r="E91" s="21" t="s">
        <v>38</v>
      </c>
      <c r="F91" s="21" t="s">
        <v>510</v>
      </c>
      <c r="G91" s="22" t="s">
        <v>39</v>
      </c>
      <c r="H91" s="21" t="s">
        <v>33</v>
      </c>
      <c r="I91" s="21" t="s">
        <v>210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511</v>
      </c>
      <c r="D92" s="21" t="s">
        <v>458</v>
      </c>
      <c r="E92" s="21" t="s">
        <v>38</v>
      </c>
      <c r="F92" s="21" t="s">
        <v>512</v>
      </c>
      <c r="G92" s="24" t="s">
        <v>387</v>
      </c>
      <c r="H92" s="21" t="s">
        <v>33</v>
      </c>
      <c r="I92" s="21" t="s">
        <v>381</v>
      </c>
      <c r="K92" s="37"/>
      <c r="L92" s="37"/>
    </row>
    <row r="93" spans="1:12" s="20" customFormat="1" x14ac:dyDescent="0.25">
      <c r="A93" s="66" t="s">
        <v>453</v>
      </c>
      <c r="B93" s="32"/>
      <c r="C93" s="32" t="s">
        <v>511</v>
      </c>
      <c r="D93" s="21" t="s">
        <v>455</v>
      </c>
      <c r="E93" s="21" t="s">
        <v>38</v>
      </c>
      <c r="F93" s="21" t="s">
        <v>513</v>
      </c>
      <c r="G93" s="22" t="s">
        <v>39</v>
      </c>
      <c r="H93" s="21" t="s">
        <v>33</v>
      </c>
      <c r="I93" s="21" t="s">
        <v>369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511</v>
      </c>
      <c r="D94" s="21" t="s">
        <v>455</v>
      </c>
      <c r="E94" s="21" t="s">
        <v>38</v>
      </c>
      <c r="F94" s="21" t="s">
        <v>514</v>
      </c>
      <c r="G94" s="24" t="s">
        <v>41</v>
      </c>
      <c r="H94" s="21" t="s">
        <v>33</v>
      </c>
      <c r="I94" s="21" t="s">
        <v>50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515</v>
      </c>
      <c r="D95" s="21" t="s">
        <v>458</v>
      </c>
      <c r="E95" s="21" t="s">
        <v>38</v>
      </c>
      <c r="F95" s="21" t="s">
        <v>516</v>
      </c>
      <c r="G95" s="22" t="s">
        <v>39</v>
      </c>
      <c r="H95" s="21" t="s">
        <v>33</v>
      </c>
      <c r="I95" s="21" t="s">
        <v>400</v>
      </c>
      <c r="K95" s="37"/>
      <c r="L95" s="37"/>
    </row>
    <row r="96" spans="1:12" s="20" customFormat="1" x14ac:dyDescent="0.25">
      <c r="A96" s="31" t="s">
        <v>143</v>
      </c>
      <c r="B96" s="32" t="s">
        <v>517</v>
      </c>
      <c r="C96" s="32" t="s">
        <v>518</v>
      </c>
      <c r="D96" s="21" t="s">
        <v>455</v>
      </c>
      <c r="E96" s="21" t="s">
        <v>38</v>
      </c>
      <c r="F96" s="21" t="s">
        <v>516</v>
      </c>
      <c r="G96" s="24" t="s">
        <v>387</v>
      </c>
      <c r="H96" s="21" t="s">
        <v>33</v>
      </c>
      <c r="I96" s="21" t="s">
        <v>519</v>
      </c>
      <c r="K96" s="37"/>
      <c r="L96" s="37"/>
    </row>
    <row r="97" spans="1:12" s="20" customFormat="1" x14ac:dyDescent="0.25">
      <c r="A97" s="31" t="s">
        <v>143</v>
      </c>
      <c r="B97" s="32" t="s">
        <v>520</v>
      </c>
      <c r="C97" s="32" t="s">
        <v>521</v>
      </c>
      <c r="D97" s="21" t="s">
        <v>455</v>
      </c>
      <c r="E97" s="21" t="s">
        <v>38</v>
      </c>
      <c r="F97" s="21" t="s">
        <v>50</v>
      </c>
      <c r="G97" s="22" t="s">
        <v>39</v>
      </c>
      <c r="H97" s="21" t="s">
        <v>33</v>
      </c>
      <c r="I97" s="21" t="s">
        <v>473</v>
      </c>
      <c r="K97" s="37"/>
      <c r="L97" s="37"/>
    </row>
    <row r="98" spans="1:12" s="20" customFormat="1" x14ac:dyDescent="0.25">
      <c r="A98" s="31" t="s">
        <v>522</v>
      </c>
      <c r="B98" s="52" t="s">
        <v>141</v>
      </c>
      <c r="C98" s="32" t="s">
        <v>523</v>
      </c>
      <c r="D98" s="21" t="s">
        <v>524</v>
      </c>
      <c r="E98" s="21" t="s">
        <v>38</v>
      </c>
      <c r="F98" s="21" t="s">
        <v>525</v>
      </c>
      <c r="G98" s="22" t="s">
        <v>39</v>
      </c>
      <c r="H98" s="21" t="s">
        <v>33</v>
      </c>
      <c r="I98" s="21" t="s">
        <v>369</v>
      </c>
      <c r="K98" s="37"/>
      <c r="L98" s="37"/>
    </row>
    <row r="99" spans="1:12" s="20" customFormat="1" x14ac:dyDescent="0.25">
      <c r="A99" s="31" t="s">
        <v>526</v>
      </c>
      <c r="B99" s="52" t="s">
        <v>527</v>
      </c>
      <c r="C99" s="32" t="s">
        <v>528</v>
      </c>
      <c r="D99" s="21" t="s">
        <v>288</v>
      </c>
      <c r="E99" s="21" t="s">
        <v>38</v>
      </c>
      <c r="F99" s="21" t="s">
        <v>529</v>
      </c>
      <c r="G99" s="22" t="s">
        <v>39</v>
      </c>
      <c r="H99" s="21" t="s">
        <v>33</v>
      </c>
      <c r="I99" s="21" t="s">
        <v>50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s="20" customFormat="1" ht="30" x14ac:dyDescent="0.25">
      <c r="A102" s="57"/>
      <c r="B102" s="58"/>
      <c r="C102" s="57"/>
      <c r="D102" s="74" t="s">
        <v>530</v>
      </c>
      <c r="E102" s="74"/>
      <c r="F102" s="74"/>
      <c r="G102" s="74"/>
      <c r="H102" s="59"/>
      <c r="I102" s="60"/>
      <c r="J102" s="37"/>
    </row>
    <row r="103" spans="1:12" s="20" customFormat="1" x14ac:dyDescent="0.25">
      <c r="B103" s="44"/>
      <c r="F103" s="30"/>
      <c r="G103" s="30"/>
      <c r="H103" s="30"/>
      <c r="I103" s="39"/>
      <c r="J103" s="37"/>
      <c r="K103" s="37"/>
      <c r="L103" s="37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_1"/>
  </protectedRanges>
  <mergeCells count="10">
    <mergeCell ref="A1:C1"/>
    <mergeCell ref="A47:C47"/>
    <mergeCell ref="A6:C6"/>
    <mergeCell ref="A54:C54"/>
    <mergeCell ref="A78:C78"/>
    <mergeCell ref="D102:G102"/>
    <mergeCell ref="L56:P56"/>
    <mergeCell ref="L59:P59"/>
    <mergeCell ref="L62:P62"/>
    <mergeCell ref="L63:P63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U103"/>
  <sheetViews>
    <sheetView topLeftCell="A28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569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66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66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66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263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575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7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265</v>
      </c>
      <c r="K49" s="37"/>
      <c r="L49" s="37"/>
    </row>
    <row r="50" spans="1:16" s="20" customFormat="1" x14ac:dyDescent="0.25">
      <c r="A50" s="66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226</v>
      </c>
      <c r="K50" s="37"/>
      <c r="L50" s="37"/>
    </row>
    <row r="51" spans="1:16" s="20" customFormat="1" x14ac:dyDescent="0.25">
      <c r="A51" s="66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264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236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66" t="s">
        <v>143</v>
      </c>
      <c r="B56" s="32" t="s">
        <v>158</v>
      </c>
      <c r="C56" s="32" t="s">
        <v>156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0x3F</v>
      </c>
      <c r="J56" s="20" t="str">
        <f>DEC2HEX(MOD(K56,256))</f>
        <v>3F</v>
      </c>
      <c r="K56" s="37">
        <f>P58-1</f>
        <v>1343</v>
      </c>
      <c r="L56" s="71" t="s">
        <v>41</v>
      </c>
      <c r="M56" s="71"/>
      <c r="N56" s="71"/>
      <c r="O56" s="71"/>
      <c r="P56" s="71"/>
    </row>
    <row r="57" spans="1:16" s="20" customFormat="1" x14ac:dyDescent="0.25">
      <c r="A57" s="66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0x05</v>
      </c>
      <c r="J57" s="20" t="str">
        <f>DEC2HEX((K56-MOD(K56,256))/256)</f>
        <v>5</v>
      </c>
      <c r="K57" s="37"/>
      <c r="L57" s="68" t="s">
        <v>295</v>
      </c>
      <c r="M57" s="68" t="s">
        <v>297</v>
      </c>
      <c r="N57" s="68" t="s">
        <v>298</v>
      </c>
      <c r="O57" s="68" t="s">
        <v>300</v>
      </c>
      <c r="P57" s="68" t="s">
        <v>339</v>
      </c>
    </row>
    <row r="58" spans="1:16" s="20" customFormat="1" x14ac:dyDescent="0.25">
      <c r="A58" s="66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0x25</v>
      </c>
      <c r="J58" s="20" t="str">
        <f>DEC2HEX(MOD(K58,256))</f>
        <v>25</v>
      </c>
      <c r="K58" s="37">
        <f>P61-1</f>
        <v>805</v>
      </c>
      <c r="L58" s="59">
        <v>136</v>
      </c>
      <c r="M58" s="59">
        <v>160</v>
      </c>
      <c r="N58" s="59">
        <v>1024</v>
      </c>
      <c r="O58" s="59">
        <f>P58-N58-M58-L58</f>
        <v>24</v>
      </c>
      <c r="P58" s="59">
        <v>1344</v>
      </c>
    </row>
    <row r="59" spans="1:16" s="20" customFormat="1" x14ac:dyDescent="0.25">
      <c r="A59" s="66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0x03</v>
      </c>
      <c r="J59" s="20" t="str">
        <f>DEC2HEX((K58-MOD(K58,256))/256)</f>
        <v>3</v>
      </c>
      <c r="K59" s="37"/>
      <c r="L59" s="71" t="s">
        <v>303</v>
      </c>
      <c r="M59" s="71"/>
      <c r="N59" s="71"/>
      <c r="O59" s="71"/>
      <c r="P59" s="71"/>
    </row>
    <row r="60" spans="1:16" s="20" customFormat="1" x14ac:dyDescent="0.25">
      <c r="A60" s="66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340</v>
      </c>
      <c r="M60" s="68" t="s">
        <v>297</v>
      </c>
      <c r="N60" s="68" t="s">
        <v>341</v>
      </c>
      <c r="O60" s="68" t="s">
        <v>300</v>
      </c>
      <c r="P60" s="68" t="s">
        <v>302</v>
      </c>
    </row>
    <row r="61" spans="1:16" s="20" customFormat="1" x14ac:dyDescent="0.25">
      <c r="A61" s="66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6</v>
      </c>
      <c r="M61" s="59">
        <v>29</v>
      </c>
      <c r="N61" s="59">
        <v>768</v>
      </c>
      <c r="O61" s="59">
        <f>P61-N61-M61-L61</f>
        <v>3</v>
      </c>
      <c r="P61" s="59">
        <v>806</v>
      </c>
    </row>
    <row r="62" spans="1:16" s="20" customFormat="1" x14ac:dyDescent="0.25">
      <c r="A62" s="66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0x87</v>
      </c>
      <c r="J62" s="20" t="str">
        <f>DEC2HEX(MOD(K62,256))</f>
        <v>87</v>
      </c>
      <c r="K62" s="37">
        <f>L58-1</f>
        <v>135</v>
      </c>
      <c r="L62" s="71" t="s">
        <v>342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60</v>
      </c>
      <c r="M63" s="72"/>
      <c r="N63" s="72"/>
      <c r="O63" s="72"/>
      <c r="P63" s="72"/>
    </row>
    <row r="64" spans="1:16" s="20" customFormat="1" x14ac:dyDescent="0.25">
      <c r="A64" s="66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0x05</v>
      </c>
      <c r="J66" s="20" t="str">
        <f>DEC2HEX(MOD(K66,256))</f>
        <v>5</v>
      </c>
      <c r="K66" s="37">
        <f>L61-1</f>
        <v>5</v>
      </c>
      <c r="L66" s="37"/>
    </row>
    <row r="67" spans="1:12" s="20" customFormat="1" x14ac:dyDescent="0.25">
      <c r="A67" s="66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0x28</v>
      </c>
      <c r="J68" s="20" t="str">
        <f>DEC2HEX(MOD(K68,256))</f>
        <v>28</v>
      </c>
      <c r="K68" s="37">
        <f>L58+M58</f>
        <v>296</v>
      </c>
      <c r="L68" s="37"/>
    </row>
    <row r="69" spans="1:12" s="20" customFormat="1" x14ac:dyDescent="0.25">
      <c r="A69" s="66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0x01</v>
      </c>
      <c r="J69" s="20" t="str">
        <f>DEC2HEX((K68-MOD(K68,256))/256)</f>
        <v>1</v>
      </c>
      <c r="K69" s="37"/>
      <c r="L69" s="37"/>
    </row>
    <row r="70" spans="1:12" s="20" customFormat="1" x14ac:dyDescent="0.25">
      <c r="A70" s="66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0x27</v>
      </c>
      <c r="J70" s="20" t="str">
        <f>DEC2HEX(MOD(K70,256))</f>
        <v>27</v>
      </c>
      <c r="K70" s="37">
        <f>L58+M58+N58-1</f>
        <v>1319</v>
      </c>
      <c r="L70" s="37"/>
    </row>
    <row r="71" spans="1:12" s="20" customFormat="1" x14ac:dyDescent="0.25">
      <c r="A71" s="66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0x05</v>
      </c>
      <c r="J71" s="20" t="str">
        <f>DEC2HEX((K70-MOD(K70,256))/256)</f>
        <v>5</v>
      </c>
      <c r="K71" s="37"/>
      <c r="L71" s="37"/>
    </row>
    <row r="72" spans="1:12" s="20" customFormat="1" x14ac:dyDescent="0.25">
      <c r="A72" s="66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0x23</v>
      </c>
      <c r="J72" s="20" t="str">
        <f>DEC2HEX(MOD(K72,256))</f>
        <v>23</v>
      </c>
      <c r="K72" s="37">
        <f>L61+M61</f>
        <v>35</v>
      </c>
      <c r="L72" s="37"/>
    </row>
    <row r="73" spans="1:12" s="20" customFormat="1" x14ac:dyDescent="0.25">
      <c r="A73" s="66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0x22</v>
      </c>
      <c r="J74" s="20" t="str">
        <f>DEC2HEX(MOD(K74,256))</f>
        <v>22</v>
      </c>
      <c r="K74" s="37">
        <f>L61+M61+N61-1</f>
        <v>802</v>
      </c>
      <c r="L74" s="37"/>
    </row>
    <row r="75" spans="1:12" s="20" customFormat="1" x14ac:dyDescent="0.25">
      <c r="A75" s="66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0x03</v>
      </c>
      <c r="J75" s="20" t="str">
        <f>DEC2HEX((K74-MOD(K74,256))/256)</f>
        <v>3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66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267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66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266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124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</protectedRanges>
  <mergeCells count="10">
    <mergeCell ref="A1:C1"/>
    <mergeCell ref="A47:C47"/>
    <mergeCell ref="A6:C6"/>
    <mergeCell ref="A54:C54"/>
    <mergeCell ref="A78:C78"/>
    <mergeCell ref="D102:G102"/>
    <mergeCell ref="L56:P56"/>
    <mergeCell ref="L59:P59"/>
    <mergeCell ref="L62:P62"/>
    <mergeCell ref="L63:P63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U103"/>
  <sheetViews>
    <sheetView topLeftCell="A46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570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66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66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66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263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576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7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270</v>
      </c>
      <c r="K49" s="37"/>
      <c r="L49" s="37"/>
    </row>
    <row r="50" spans="1:16" s="20" customFormat="1" x14ac:dyDescent="0.25">
      <c r="A50" s="66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175</v>
      </c>
      <c r="K50" s="37"/>
      <c r="L50" s="37"/>
    </row>
    <row r="51" spans="1:16" s="20" customFormat="1" x14ac:dyDescent="0.25">
      <c r="A51" s="66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269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236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66" t="s">
        <v>143</v>
      </c>
      <c r="B56" s="32" t="s">
        <v>158</v>
      </c>
      <c r="C56" s="32" t="s">
        <v>156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0x97</v>
      </c>
      <c r="J56" s="20" t="str">
        <f>DEC2HEX(MOD(K56,256))</f>
        <v>97</v>
      </c>
      <c r="K56" s="37">
        <f>P58-1</f>
        <v>1687</v>
      </c>
      <c r="L56" s="71" t="s">
        <v>41</v>
      </c>
      <c r="M56" s="71"/>
      <c r="N56" s="71"/>
      <c r="O56" s="71"/>
      <c r="P56" s="71"/>
    </row>
    <row r="57" spans="1:16" s="20" customFormat="1" x14ac:dyDescent="0.25">
      <c r="A57" s="66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0x06</v>
      </c>
      <c r="J57" s="20" t="str">
        <f>DEC2HEX((K56-MOD(K56,256))/256)</f>
        <v>6</v>
      </c>
      <c r="K57" s="37"/>
      <c r="L57" s="68" t="s">
        <v>295</v>
      </c>
      <c r="M57" s="68" t="s">
        <v>297</v>
      </c>
      <c r="N57" s="68" t="s">
        <v>298</v>
      </c>
      <c r="O57" s="68" t="s">
        <v>343</v>
      </c>
      <c r="P57" s="68" t="s">
        <v>302</v>
      </c>
    </row>
    <row r="58" spans="1:16" s="20" customFormat="1" x14ac:dyDescent="0.25">
      <c r="A58" s="66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0x29</v>
      </c>
      <c r="J58" s="20" t="str">
        <f>DEC2HEX(MOD(K58,256))</f>
        <v>29</v>
      </c>
      <c r="K58" s="37">
        <f>P61-1</f>
        <v>1065</v>
      </c>
      <c r="L58" s="59">
        <v>112</v>
      </c>
      <c r="M58" s="59">
        <v>248</v>
      </c>
      <c r="N58" s="59">
        <v>1280</v>
      </c>
      <c r="O58" s="59">
        <f>P58-N58-M58-L58</f>
        <v>48</v>
      </c>
      <c r="P58" s="59">
        <v>1688</v>
      </c>
    </row>
    <row r="59" spans="1:16" s="20" customFormat="1" x14ac:dyDescent="0.25">
      <c r="A59" s="66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71" t="s">
        <v>344</v>
      </c>
      <c r="M59" s="71"/>
      <c r="N59" s="71"/>
      <c r="O59" s="71"/>
      <c r="P59" s="71"/>
    </row>
    <row r="60" spans="1:16" s="20" customFormat="1" x14ac:dyDescent="0.25">
      <c r="A60" s="66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295</v>
      </c>
      <c r="M60" s="68" t="s">
        <v>345</v>
      </c>
      <c r="N60" s="68" t="s">
        <v>341</v>
      </c>
      <c r="O60" s="68" t="s">
        <v>300</v>
      </c>
      <c r="P60" s="68" t="s">
        <v>302</v>
      </c>
    </row>
    <row r="61" spans="1:16" s="20" customFormat="1" x14ac:dyDescent="0.25">
      <c r="A61" s="66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3</v>
      </c>
      <c r="M61" s="59">
        <v>38</v>
      </c>
      <c r="N61" s="59">
        <v>1024</v>
      </c>
      <c r="O61" s="59">
        <f>P61-N61-M61-L61</f>
        <v>1</v>
      </c>
      <c r="P61" s="59">
        <v>1066</v>
      </c>
    </row>
    <row r="62" spans="1:16" s="20" customFormat="1" x14ac:dyDescent="0.25">
      <c r="A62" s="66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0x6F</v>
      </c>
      <c r="J62" s="20" t="str">
        <f>DEC2HEX(MOD(K62,256))</f>
        <v>6F</v>
      </c>
      <c r="K62" s="37">
        <f>L58-1</f>
        <v>111</v>
      </c>
      <c r="L62" s="71" t="s">
        <v>305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60</v>
      </c>
      <c r="M63" s="72"/>
      <c r="N63" s="72"/>
      <c r="O63" s="72"/>
      <c r="P63" s="72"/>
    </row>
    <row r="64" spans="1:16" s="20" customFormat="1" x14ac:dyDescent="0.25">
      <c r="A64" s="66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0x02</v>
      </c>
      <c r="J66" s="20" t="str">
        <f>DEC2HEX(MOD(K66,256))</f>
        <v>2</v>
      </c>
      <c r="K66" s="37">
        <f>L61-1</f>
        <v>2</v>
      </c>
      <c r="L66" s="37"/>
    </row>
    <row r="67" spans="1:12" s="20" customFormat="1" x14ac:dyDescent="0.25">
      <c r="A67" s="66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0x68</v>
      </c>
      <c r="J68" s="20" t="str">
        <f>DEC2HEX(MOD(K68,256))</f>
        <v>68</v>
      </c>
      <c r="K68" s="37">
        <f>L58+M58</f>
        <v>360</v>
      </c>
      <c r="L68" s="37"/>
    </row>
    <row r="69" spans="1:12" s="20" customFormat="1" x14ac:dyDescent="0.25">
      <c r="A69" s="66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0x01</v>
      </c>
      <c r="J69" s="20" t="str">
        <f>DEC2HEX((K68-MOD(K68,256))/256)</f>
        <v>1</v>
      </c>
      <c r="K69" s="37"/>
      <c r="L69" s="37"/>
    </row>
    <row r="70" spans="1:12" s="20" customFormat="1" x14ac:dyDescent="0.25">
      <c r="A70" s="66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0x67</v>
      </c>
      <c r="J70" s="20" t="str">
        <f>DEC2HEX(MOD(K70,256))</f>
        <v>67</v>
      </c>
      <c r="K70" s="37">
        <f>L58+M58+N58-1</f>
        <v>1639</v>
      </c>
      <c r="L70" s="37"/>
    </row>
    <row r="71" spans="1:12" s="20" customFormat="1" x14ac:dyDescent="0.25">
      <c r="A71" s="66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0x06</v>
      </c>
      <c r="J71" s="20" t="str">
        <f>DEC2HEX((K70-MOD(K70,256))/256)</f>
        <v>6</v>
      </c>
      <c r="K71" s="37"/>
      <c r="L71" s="37"/>
    </row>
    <row r="72" spans="1:12" s="20" customFormat="1" x14ac:dyDescent="0.25">
      <c r="A72" s="66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0x29</v>
      </c>
      <c r="J72" s="20" t="str">
        <f>DEC2HEX(MOD(K72,256))</f>
        <v>29</v>
      </c>
      <c r="K72" s="37">
        <f>L61+M61</f>
        <v>41</v>
      </c>
      <c r="L72" s="37"/>
    </row>
    <row r="73" spans="1:12" s="20" customFormat="1" x14ac:dyDescent="0.25">
      <c r="A73" s="66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0x28</v>
      </c>
      <c r="J74" s="20" t="str">
        <f>DEC2HEX(MOD(K74,256))</f>
        <v>28</v>
      </c>
      <c r="K74" s="37">
        <f>L61+M61+N61-1</f>
        <v>1064</v>
      </c>
      <c r="L74" s="37"/>
    </row>
    <row r="75" spans="1:12" s="20" customFormat="1" x14ac:dyDescent="0.25">
      <c r="A75" s="66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0x04</v>
      </c>
      <c r="J75" s="20" t="str">
        <f>DEC2HEX((K74-MOD(K74,256))/256)</f>
        <v>4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66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267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66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266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124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</protectedRanges>
  <mergeCells count="10">
    <mergeCell ref="A1:C1"/>
    <mergeCell ref="A47:C47"/>
    <mergeCell ref="A6:C6"/>
    <mergeCell ref="A54:C54"/>
    <mergeCell ref="A78:C78"/>
    <mergeCell ref="D102:G102"/>
    <mergeCell ref="L56:P56"/>
    <mergeCell ref="L59:P59"/>
    <mergeCell ref="L62:P62"/>
    <mergeCell ref="L63:P63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U103"/>
  <sheetViews>
    <sheetView topLeftCell="A43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570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66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66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66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263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576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7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273</v>
      </c>
      <c r="K49" s="37"/>
      <c r="L49" s="37"/>
    </row>
    <row r="50" spans="1:16" s="20" customFormat="1" x14ac:dyDescent="0.25">
      <c r="A50" s="66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272</v>
      </c>
      <c r="K50" s="37"/>
      <c r="L50" s="37"/>
    </row>
    <row r="51" spans="1:16" s="20" customFormat="1" x14ac:dyDescent="0.25">
      <c r="A51" s="66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271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236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66" t="s">
        <v>143</v>
      </c>
      <c r="B56" s="32" t="s">
        <v>158</v>
      </c>
      <c r="C56" s="32" t="s">
        <v>156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0xFF</v>
      </c>
      <c r="J56" s="20" t="str">
        <f>DEC2HEX(MOD(K56,256))</f>
        <v>FF</v>
      </c>
      <c r="K56" s="37">
        <f>P58-1</f>
        <v>1791</v>
      </c>
      <c r="L56" s="71" t="s">
        <v>41</v>
      </c>
      <c r="M56" s="71"/>
      <c r="N56" s="71"/>
      <c r="O56" s="71"/>
      <c r="P56" s="71"/>
    </row>
    <row r="57" spans="1:16" s="20" customFormat="1" x14ac:dyDescent="0.25">
      <c r="A57" s="66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0x06</v>
      </c>
      <c r="J57" s="20" t="str">
        <f>DEC2HEX((K56-MOD(K56,256))/256)</f>
        <v>6</v>
      </c>
      <c r="K57" s="37"/>
      <c r="L57" s="68" t="s">
        <v>295</v>
      </c>
      <c r="M57" s="68" t="s">
        <v>346</v>
      </c>
      <c r="N57" s="68" t="s">
        <v>298</v>
      </c>
      <c r="O57" s="68" t="s">
        <v>300</v>
      </c>
      <c r="P57" s="68" t="s">
        <v>347</v>
      </c>
    </row>
    <row r="58" spans="1:16" s="20" customFormat="1" x14ac:dyDescent="0.25">
      <c r="A58" s="66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0x1D</v>
      </c>
      <c r="J58" s="20" t="str">
        <f>DEC2HEX(MOD(K58,256))</f>
        <v>1D</v>
      </c>
      <c r="K58" s="37">
        <f>P61-1</f>
        <v>797</v>
      </c>
      <c r="L58" s="59">
        <v>143</v>
      </c>
      <c r="M58" s="59">
        <v>215</v>
      </c>
      <c r="N58" s="59">
        <v>1366</v>
      </c>
      <c r="O58" s="59">
        <f>P58-N58-M58-L58</f>
        <v>68</v>
      </c>
      <c r="P58" s="59">
        <v>1792</v>
      </c>
    </row>
    <row r="59" spans="1:16" s="20" customFormat="1" x14ac:dyDescent="0.25">
      <c r="A59" s="66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0x03</v>
      </c>
      <c r="J59" s="20" t="str">
        <f>DEC2HEX((K58-MOD(K58,256))/256)</f>
        <v>3</v>
      </c>
      <c r="K59" s="37"/>
      <c r="L59" s="71" t="s">
        <v>303</v>
      </c>
      <c r="M59" s="71"/>
      <c r="N59" s="71"/>
      <c r="O59" s="71"/>
      <c r="P59" s="71"/>
    </row>
    <row r="60" spans="1:16" s="20" customFormat="1" x14ac:dyDescent="0.25">
      <c r="A60" s="66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348</v>
      </c>
      <c r="M60" s="68" t="s">
        <v>349</v>
      </c>
      <c r="N60" s="68" t="s">
        <v>298</v>
      </c>
      <c r="O60" s="68" t="s">
        <v>350</v>
      </c>
      <c r="P60" s="68" t="s">
        <v>351</v>
      </c>
    </row>
    <row r="61" spans="1:16" s="20" customFormat="1" x14ac:dyDescent="0.25">
      <c r="A61" s="66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3</v>
      </c>
      <c r="M61" s="59">
        <v>24</v>
      </c>
      <c r="N61" s="59">
        <v>768</v>
      </c>
      <c r="O61" s="59">
        <f>P61-N61-M61-L61</f>
        <v>3</v>
      </c>
      <c r="P61" s="59">
        <v>798</v>
      </c>
    </row>
    <row r="62" spans="1:16" s="20" customFormat="1" x14ac:dyDescent="0.25">
      <c r="A62" s="66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0x8E</v>
      </c>
      <c r="J62" s="20" t="str">
        <f>DEC2HEX(MOD(K62,256))</f>
        <v>8E</v>
      </c>
      <c r="K62" s="37">
        <f>L58-1</f>
        <v>142</v>
      </c>
      <c r="L62" s="71" t="s">
        <v>305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60</v>
      </c>
      <c r="M63" s="72"/>
      <c r="N63" s="72"/>
      <c r="O63" s="72"/>
      <c r="P63" s="72"/>
    </row>
    <row r="64" spans="1:16" s="20" customFormat="1" x14ac:dyDescent="0.25">
      <c r="A64" s="66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0x02</v>
      </c>
      <c r="J66" s="20" t="str">
        <f>DEC2HEX(MOD(K66,256))</f>
        <v>2</v>
      </c>
      <c r="K66" s="37">
        <f>L61-1</f>
        <v>2</v>
      </c>
      <c r="L66" s="37"/>
    </row>
    <row r="67" spans="1:12" s="20" customFormat="1" x14ac:dyDescent="0.25">
      <c r="A67" s="66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0x66</v>
      </c>
      <c r="J68" s="20" t="str">
        <f>DEC2HEX(MOD(K68,256))</f>
        <v>66</v>
      </c>
      <c r="K68" s="37">
        <f>L58+M58</f>
        <v>358</v>
      </c>
      <c r="L68" s="37"/>
    </row>
    <row r="69" spans="1:12" s="20" customFormat="1" x14ac:dyDescent="0.25">
      <c r="A69" s="66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0x01</v>
      </c>
      <c r="J69" s="20" t="str">
        <f>DEC2HEX((K68-MOD(K68,256))/256)</f>
        <v>1</v>
      </c>
      <c r="K69" s="37"/>
      <c r="L69" s="37"/>
    </row>
    <row r="70" spans="1:12" s="20" customFormat="1" x14ac:dyDescent="0.25">
      <c r="A70" s="66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0xBB</v>
      </c>
      <c r="J70" s="20" t="str">
        <f>DEC2HEX(MOD(K70,256))</f>
        <v>BB</v>
      </c>
      <c r="K70" s="37">
        <f>L58+M58+N58-1</f>
        <v>1723</v>
      </c>
      <c r="L70" s="37"/>
    </row>
    <row r="71" spans="1:12" s="20" customFormat="1" x14ac:dyDescent="0.25">
      <c r="A71" s="66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0x06</v>
      </c>
      <c r="J71" s="20" t="str">
        <f>DEC2HEX((K70-MOD(K70,256))/256)</f>
        <v>6</v>
      </c>
      <c r="K71" s="37"/>
      <c r="L71" s="37"/>
    </row>
    <row r="72" spans="1:12" s="20" customFormat="1" x14ac:dyDescent="0.25">
      <c r="A72" s="66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0x1B</v>
      </c>
      <c r="J72" s="20" t="str">
        <f>DEC2HEX(MOD(K72,256))</f>
        <v>1B</v>
      </c>
      <c r="K72" s="37">
        <f>L61+M61</f>
        <v>27</v>
      </c>
      <c r="L72" s="37"/>
    </row>
    <row r="73" spans="1:12" s="20" customFormat="1" x14ac:dyDescent="0.25">
      <c r="A73" s="66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0x1A</v>
      </c>
      <c r="J74" s="20" t="str">
        <f>DEC2HEX(MOD(K74,256))</f>
        <v>1A</v>
      </c>
      <c r="K74" s="37">
        <f>L61+M61+N61-1</f>
        <v>794</v>
      </c>
      <c r="L74" s="37"/>
    </row>
    <row r="75" spans="1:12" s="20" customFormat="1" x14ac:dyDescent="0.25">
      <c r="A75" s="66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0x03</v>
      </c>
      <c r="J75" s="20" t="str">
        <f>DEC2HEX((K74-MOD(K74,256))/256)</f>
        <v>3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66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267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66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266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124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</protectedRanges>
  <mergeCells count="10">
    <mergeCell ref="A1:C1"/>
    <mergeCell ref="A47:C47"/>
    <mergeCell ref="A6:C6"/>
    <mergeCell ref="A54:C54"/>
    <mergeCell ref="A78:C78"/>
    <mergeCell ref="D102:G102"/>
    <mergeCell ref="L56:P56"/>
    <mergeCell ref="L59:P59"/>
    <mergeCell ref="L62:P62"/>
    <mergeCell ref="L63:P63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U103"/>
  <sheetViews>
    <sheetView topLeftCell="A43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569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66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66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66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263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576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7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276</v>
      </c>
      <c r="K49" s="37"/>
      <c r="L49" s="37"/>
    </row>
    <row r="50" spans="1:16" s="20" customFormat="1" x14ac:dyDescent="0.25">
      <c r="A50" s="66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275</v>
      </c>
      <c r="K50" s="37"/>
      <c r="L50" s="37"/>
    </row>
    <row r="51" spans="1:16" s="20" customFormat="1" x14ac:dyDescent="0.25">
      <c r="A51" s="66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274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236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66" t="s">
        <v>143</v>
      </c>
      <c r="B56" s="32" t="s">
        <v>158</v>
      </c>
      <c r="C56" s="32" t="s">
        <v>156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0x6F</v>
      </c>
      <c r="J56" s="20" t="str">
        <f>DEC2HEX(MOD(K56,256))</f>
        <v>6F</v>
      </c>
      <c r="K56" s="37">
        <f>P58-1</f>
        <v>1903</v>
      </c>
      <c r="L56" s="71" t="s">
        <v>41</v>
      </c>
      <c r="M56" s="71"/>
      <c r="N56" s="71"/>
      <c r="O56" s="71"/>
      <c r="P56" s="71"/>
    </row>
    <row r="57" spans="1:16" s="20" customFormat="1" x14ac:dyDescent="0.25">
      <c r="A57" s="66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0x07</v>
      </c>
      <c r="J57" s="20" t="str">
        <f>DEC2HEX((K56-MOD(K56,256))/256)</f>
        <v>7</v>
      </c>
      <c r="K57" s="37"/>
      <c r="L57" s="68" t="s">
        <v>340</v>
      </c>
      <c r="M57" s="68" t="s">
        <v>349</v>
      </c>
      <c r="N57" s="68" t="s">
        <v>352</v>
      </c>
      <c r="O57" s="68" t="s">
        <v>353</v>
      </c>
      <c r="P57" s="68" t="s">
        <v>354</v>
      </c>
    </row>
    <row r="58" spans="1:16" s="20" customFormat="1" x14ac:dyDescent="0.25">
      <c r="A58" s="66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0xA5</v>
      </c>
      <c r="J58" s="20" t="str">
        <f>DEC2HEX(MOD(K58,256))</f>
        <v>A5</v>
      </c>
      <c r="K58" s="37">
        <f>P61-1</f>
        <v>933</v>
      </c>
      <c r="L58" s="59">
        <v>152</v>
      </c>
      <c r="M58" s="59">
        <v>232</v>
      </c>
      <c r="N58" s="59">
        <v>1440</v>
      </c>
      <c r="O58" s="59">
        <f>P58-N58-M58-L58</f>
        <v>80</v>
      </c>
      <c r="P58" s="59">
        <v>1904</v>
      </c>
    </row>
    <row r="59" spans="1:16" s="20" customFormat="1" x14ac:dyDescent="0.25">
      <c r="A59" s="66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0x03</v>
      </c>
      <c r="J59" s="20" t="str">
        <f>DEC2HEX((K58-MOD(K58,256))/256)</f>
        <v>3</v>
      </c>
      <c r="K59" s="37"/>
      <c r="L59" s="71" t="s">
        <v>303</v>
      </c>
      <c r="M59" s="71"/>
      <c r="N59" s="71"/>
      <c r="O59" s="71"/>
      <c r="P59" s="71"/>
    </row>
    <row r="60" spans="1:16" s="20" customFormat="1" x14ac:dyDescent="0.25">
      <c r="A60" s="66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340</v>
      </c>
      <c r="M60" s="68" t="s">
        <v>349</v>
      </c>
      <c r="N60" s="68" t="s">
        <v>298</v>
      </c>
      <c r="O60" s="68" t="s">
        <v>353</v>
      </c>
      <c r="P60" s="68" t="s">
        <v>354</v>
      </c>
    </row>
    <row r="61" spans="1:16" s="20" customFormat="1" x14ac:dyDescent="0.25">
      <c r="A61" s="66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6</v>
      </c>
      <c r="M61" s="59">
        <v>25</v>
      </c>
      <c r="N61" s="59">
        <v>900</v>
      </c>
      <c r="O61" s="59">
        <f>P61-N61-M61-L61</f>
        <v>3</v>
      </c>
      <c r="P61" s="59">
        <v>934</v>
      </c>
    </row>
    <row r="62" spans="1:16" s="20" customFormat="1" x14ac:dyDescent="0.25">
      <c r="A62" s="66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0x97</v>
      </c>
      <c r="J62" s="20" t="str">
        <f>DEC2HEX(MOD(K62,256))</f>
        <v>97</v>
      </c>
      <c r="K62" s="37">
        <f>L58-1</f>
        <v>151</v>
      </c>
      <c r="L62" s="71" t="s">
        <v>342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60</v>
      </c>
      <c r="M63" s="72"/>
      <c r="N63" s="72"/>
      <c r="O63" s="72"/>
      <c r="P63" s="72"/>
    </row>
    <row r="64" spans="1:16" s="20" customFormat="1" x14ac:dyDescent="0.25">
      <c r="A64" s="66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0x05</v>
      </c>
      <c r="J66" s="20" t="str">
        <f>DEC2HEX(MOD(K66,256))</f>
        <v>5</v>
      </c>
      <c r="K66" s="37">
        <f>L61-1</f>
        <v>5</v>
      </c>
      <c r="L66" s="37"/>
    </row>
    <row r="67" spans="1:12" s="20" customFormat="1" x14ac:dyDescent="0.25">
      <c r="A67" s="66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0x80</v>
      </c>
      <c r="J68" s="20" t="str">
        <f>DEC2HEX(MOD(K68,256))</f>
        <v>80</v>
      </c>
      <c r="K68" s="37">
        <f>L58+M58</f>
        <v>384</v>
      </c>
      <c r="L68" s="37"/>
    </row>
    <row r="69" spans="1:12" s="20" customFormat="1" x14ac:dyDescent="0.25">
      <c r="A69" s="66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0x01</v>
      </c>
      <c r="J69" s="20" t="str">
        <f>DEC2HEX((K68-MOD(K68,256))/256)</f>
        <v>1</v>
      </c>
      <c r="K69" s="37"/>
      <c r="L69" s="37"/>
    </row>
    <row r="70" spans="1:12" s="20" customFormat="1" x14ac:dyDescent="0.25">
      <c r="A70" s="66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0x1F</v>
      </c>
      <c r="J70" s="20" t="str">
        <f>DEC2HEX(MOD(K70,256))</f>
        <v>1F</v>
      </c>
      <c r="K70" s="37">
        <f>L58+M58+N58-1</f>
        <v>1823</v>
      </c>
      <c r="L70" s="37"/>
    </row>
    <row r="71" spans="1:12" s="20" customFormat="1" x14ac:dyDescent="0.25">
      <c r="A71" s="66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0x07</v>
      </c>
      <c r="J71" s="20" t="str">
        <f>DEC2HEX((K70-MOD(K70,256))/256)</f>
        <v>7</v>
      </c>
      <c r="K71" s="37"/>
      <c r="L71" s="37"/>
    </row>
    <row r="72" spans="1:12" s="20" customFormat="1" x14ac:dyDescent="0.25">
      <c r="A72" s="66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0x1F</v>
      </c>
      <c r="J72" s="20" t="str">
        <f>DEC2HEX(MOD(K72,256))</f>
        <v>1F</v>
      </c>
      <c r="K72" s="37">
        <f>L61+M61</f>
        <v>31</v>
      </c>
      <c r="L72" s="37"/>
    </row>
    <row r="73" spans="1:12" s="20" customFormat="1" x14ac:dyDescent="0.25">
      <c r="A73" s="66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0xA2</v>
      </c>
      <c r="J74" s="20" t="str">
        <f>DEC2HEX(MOD(K74,256))</f>
        <v>A2</v>
      </c>
      <c r="K74" s="37">
        <f>L61+M61+N61-1</f>
        <v>930</v>
      </c>
      <c r="L74" s="37"/>
    </row>
    <row r="75" spans="1:12" s="20" customFormat="1" x14ac:dyDescent="0.25">
      <c r="A75" s="66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0x03</v>
      </c>
      <c r="J75" s="20" t="str">
        <f>DEC2HEX((K74-MOD(K74,256))/256)</f>
        <v>3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66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267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66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266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124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</protectedRanges>
  <mergeCells count="10">
    <mergeCell ref="A1:C1"/>
    <mergeCell ref="A47:C47"/>
    <mergeCell ref="A6:C6"/>
    <mergeCell ref="A54:C54"/>
    <mergeCell ref="A78:C78"/>
    <mergeCell ref="D102:G102"/>
    <mergeCell ref="L56:P56"/>
    <mergeCell ref="L59:P59"/>
    <mergeCell ref="L62:P62"/>
    <mergeCell ref="L63:P63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FF00"/>
  </sheetPr>
  <dimension ref="A1:U103"/>
  <sheetViews>
    <sheetView topLeftCell="A43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569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66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66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66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263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575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7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279</v>
      </c>
      <c r="K49" s="37"/>
      <c r="L49" s="37"/>
    </row>
    <row r="50" spans="1:16" s="20" customFormat="1" x14ac:dyDescent="0.25">
      <c r="A50" s="66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278</v>
      </c>
      <c r="K50" s="37"/>
      <c r="L50" s="37"/>
    </row>
    <row r="51" spans="1:16" s="20" customFormat="1" x14ac:dyDescent="0.25">
      <c r="A51" s="66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277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236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66" t="s">
        <v>143</v>
      </c>
      <c r="B56" s="32" t="s">
        <v>158</v>
      </c>
      <c r="C56" s="32" t="s">
        <v>156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0x8F</v>
      </c>
      <c r="J56" s="20" t="str">
        <f>DEC2HEX(MOD(K56,256))</f>
        <v>8F</v>
      </c>
      <c r="K56" s="37">
        <f>P58-1</f>
        <v>1679</v>
      </c>
      <c r="L56" s="71" t="s">
        <v>41</v>
      </c>
      <c r="M56" s="71"/>
      <c r="N56" s="71"/>
      <c r="O56" s="71"/>
      <c r="P56" s="71"/>
    </row>
    <row r="57" spans="1:16" s="20" customFormat="1" x14ac:dyDescent="0.25">
      <c r="A57" s="66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0x06</v>
      </c>
      <c r="J57" s="20" t="str">
        <f>DEC2HEX((K56-MOD(K56,256))/256)</f>
        <v>6</v>
      </c>
      <c r="K57" s="37"/>
      <c r="L57" s="68" t="s">
        <v>348</v>
      </c>
      <c r="M57" s="68" t="s">
        <v>297</v>
      </c>
      <c r="N57" s="68" t="s">
        <v>298</v>
      </c>
      <c r="O57" s="68" t="s">
        <v>350</v>
      </c>
      <c r="P57" s="68" t="s">
        <v>354</v>
      </c>
    </row>
    <row r="58" spans="1:16" s="20" customFormat="1" x14ac:dyDescent="0.25">
      <c r="A58" s="66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0x3E</v>
      </c>
      <c r="J58" s="20" t="str">
        <f>DEC2HEX(MOD(K58,256))</f>
        <v>3E</v>
      </c>
      <c r="K58" s="37">
        <f>P61-1</f>
        <v>830</v>
      </c>
      <c r="L58" s="59">
        <v>128</v>
      </c>
      <c r="M58" s="59">
        <v>200</v>
      </c>
      <c r="N58" s="59">
        <v>1280</v>
      </c>
      <c r="O58" s="59">
        <f>P58-N58-M58-L58</f>
        <v>72</v>
      </c>
      <c r="P58" s="59">
        <v>1680</v>
      </c>
    </row>
    <row r="59" spans="1:16" s="20" customFormat="1" x14ac:dyDescent="0.25">
      <c r="A59" s="66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0x03</v>
      </c>
      <c r="J59" s="20" t="str">
        <f>DEC2HEX((K58-MOD(K58,256))/256)</f>
        <v>3</v>
      </c>
      <c r="K59" s="37"/>
      <c r="L59" s="71" t="s">
        <v>303</v>
      </c>
      <c r="M59" s="71"/>
      <c r="N59" s="71"/>
      <c r="O59" s="71"/>
      <c r="P59" s="71"/>
    </row>
    <row r="60" spans="1:16" s="20" customFormat="1" x14ac:dyDescent="0.25">
      <c r="A60" s="66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340</v>
      </c>
      <c r="M60" s="68" t="s">
        <v>297</v>
      </c>
      <c r="N60" s="68" t="s">
        <v>298</v>
      </c>
      <c r="O60" s="68" t="s">
        <v>300</v>
      </c>
      <c r="P60" s="68" t="s">
        <v>302</v>
      </c>
    </row>
    <row r="61" spans="1:16" s="20" customFormat="1" x14ac:dyDescent="0.25">
      <c r="A61" s="66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6</v>
      </c>
      <c r="M61" s="59">
        <v>22</v>
      </c>
      <c r="N61" s="59">
        <v>800</v>
      </c>
      <c r="O61" s="59">
        <f>P61-N61-M61-L61</f>
        <v>3</v>
      </c>
      <c r="P61" s="59">
        <v>831</v>
      </c>
    </row>
    <row r="62" spans="1:16" s="20" customFormat="1" x14ac:dyDescent="0.25">
      <c r="A62" s="66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0x7F</v>
      </c>
      <c r="J62" s="20" t="str">
        <f>DEC2HEX(MOD(K62,256))</f>
        <v>7F</v>
      </c>
      <c r="K62" s="37">
        <f>L58-1</f>
        <v>127</v>
      </c>
      <c r="L62" s="71" t="s">
        <v>305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60</v>
      </c>
      <c r="M63" s="72"/>
      <c r="N63" s="72"/>
      <c r="O63" s="72"/>
      <c r="P63" s="72"/>
    </row>
    <row r="64" spans="1:16" s="20" customFormat="1" x14ac:dyDescent="0.25">
      <c r="A64" s="66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0x05</v>
      </c>
      <c r="J66" s="20" t="str">
        <f>DEC2HEX(MOD(K66,256))</f>
        <v>5</v>
      </c>
      <c r="K66" s="37">
        <f>L61-1</f>
        <v>5</v>
      </c>
      <c r="L66" s="37"/>
    </row>
    <row r="67" spans="1:12" s="20" customFormat="1" x14ac:dyDescent="0.25">
      <c r="A67" s="66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0x48</v>
      </c>
      <c r="J68" s="20" t="str">
        <f>DEC2HEX(MOD(K68,256))</f>
        <v>48</v>
      </c>
      <c r="K68" s="37">
        <f>L58+M58</f>
        <v>328</v>
      </c>
      <c r="L68" s="37"/>
    </row>
    <row r="69" spans="1:12" s="20" customFormat="1" x14ac:dyDescent="0.25">
      <c r="A69" s="66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0x01</v>
      </c>
      <c r="J69" s="20" t="str">
        <f>DEC2HEX((K68-MOD(K68,256))/256)</f>
        <v>1</v>
      </c>
      <c r="K69" s="37"/>
      <c r="L69" s="37"/>
    </row>
    <row r="70" spans="1:12" s="20" customFormat="1" x14ac:dyDescent="0.25">
      <c r="A70" s="66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0x47</v>
      </c>
      <c r="J70" s="20" t="str">
        <f>DEC2HEX(MOD(K70,256))</f>
        <v>47</v>
      </c>
      <c r="K70" s="37">
        <f>L58+M58+N58-1</f>
        <v>1607</v>
      </c>
      <c r="L70" s="37"/>
    </row>
    <row r="71" spans="1:12" s="20" customFormat="1" x14ac:dyDescent="0.25">
      <c r="A71" s="66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0x06</v>
      </c>
      <c r="J71" s="20" t="str">
        <f>DEC2HEX((K70-MOD(K70,256))/256)</f>
        <v>6</v>
      </c>
      <c r="K71" s="37"/>
      <c r="L71" s="37"/>
    </row>
    <row r="72" spans="1:12" s="20" customFormat="1" x14ac:dyDescent="0.25">
      <c r="A72" s="66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0x1C</v>
      </c>
      <c r="J72" s="20" t="str">
        <f>DEC2HEX(MOD(K72,256))</f>
        <v>1C</v>
      </c>
      <c r="K72" s="37">
        <f>L61+M61</f>
        <v>28</v>
      </c>
      <c r="L72" s="37"/>
    </row>
    <row r="73" spans="1:12" s="20" customFormat="1" x14ac:dyDescent="0.25">
      <c r="A73" s="66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0x3B</v>
      </c>
      <c r="J74" s="20" t="str">
        <f>DEC2HEX(MOD(K74,256))</f>
        <v>3B</v>
      </c>
      <c r="K74" s="37">
        <f>L61+M61+N61-1</f>
        <v>827</v>
      </c>
      <c r="L74" s="37"/>
    </row>
    <row r="75" spans="1:12" s="20" customFormat="1" x14ac:dyDescent="0.25">
      <c r="A75" s="66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0x03</v>
      </c>
      <c r="J75" s="20" t="str">
        <f>DEC2HEX((K74-MOD(K74,256))/256)</f>
        <v>3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66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267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66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266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124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_1"/>
  </protectedRanges>
  <mergeCells count="10">
    <mergeCell ref="A1:C1"/>
    <mergeCell ref="A47:C47"/>
    <mergeCell ref="A6:C6"/>
    <mergeCell ref="A54:C54"/>
    <mergeCell ref="A78:C78"/>
    <mergeCell ref="D102:G102"/>
    <mergeCell ref="L56:P56"/>
    <mergeCell ref="L59:P59"/>
    <mergeCell ref="L62:P62"/>
    <mergeCell ref="L63:P63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U103"/>
  <sheetViews>
    <sheetView topLeftCell="A43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570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66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66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66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263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574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7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282</v>
      </c>
      <c r="K49" s="37"/>
      <c r="L49" s="37"/>
    </row>
    <row r="50" spans="1:16" s="20" customFormat="1" x14ac:dyDescent="0.25">
      <c r="A50" s="66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281</v>
      </c>
      <c r="K50" s="37"/>
      <c r="L50" s="37"/>
    </row>
    <row r="51" spans="1:16" s="20" customFormat="1" x14ac:dyDescent="0.25">
      <c r="A51" s="66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280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236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66" t="s">
        <v>143</v>
      </c>
      <c r="B56" s="32" t="s">
        <v>158</v>
      </c>
      <c r="C56" s="32" t="s">
        <v>156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0xBF</v>
      </c>
      <c r="J56" s="20" t="str">
        <f>DEC2HEX(MOD(K56,256))</f>
        <v>BF</v>
      </c>
      <c r="K56" s="37">
        <f>P58-1</f>
        <v>2239</v>
      </c>
      <c r="L56" s="71" t="s">
        <v>355</v>
      </c>
      <c r="M56" s="71"/>
      <c r="N56" s="71"/>
      <c r="O56" s="71"/>
      <c r="P56" s="71"/>
    </row>
    <row r="57" spans="1:16" s="20" customFormat="1" x14ac:dyDescent="0.25">
      <c r="A57" s="66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0x08</v>
      </c>
      <c r="J57" s="20" t="str">
        <f>DEC2HEX((K56-MOD(K56,256))/256)</f>
        <v>8</v>
      </c>
      <c r="K57" s="37"/>
      <c r="L57" s="68" t="s">
        <v>348</v>
      </c>
      <c r="M57" s="68" t="s">
        <v>297</v>
      </c>
      <c r="N57" s="68" t="s">
        <v>298</v>
      </c>
      <c r="O57" s="68" t="s">
        <v>350</v>
      </c>
      <c r="P57" s="68" t="s">
        <v>354</v>
      </c>
    </row>
    <row r="58" spans="1:16" s="20" customFormat="1" x14ac:dyDescent="0.25">
      <c r="A58" s="66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0x40</v>
      </c>
      <c r="J58" s="20" t="str">
        <f>DEC2HEX(MOD(K58,256))</f>
        <v>40</v>
      </c>
      <c r="K58" s="37">
        <f>P61-1</f>
        <v>1088</v>
      </c>
      <c r="L58" s="59">
        <v>176</v>
      </c>
      <c r="M58" s="59">
        <v>280</v>
      </c>
      <c r="N58" s="59">
        <v>1680</v>
      </c>
      <c r="O58" s="59">
        <f>P58-N58-M58-L58</f>
        <v>104</v>
      </c>
      <c r="P58" s="59">
        <v>2240</v>
      </c>
    </row>
    <row r="59" spans="1:16" s="20" customFormat="1" x14ac:dyDescent="0.25">
      <c r="A59" s="66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71" t="s">
        <v>303</v>
      </c>
      <c r="M59" s="71"/>
      <c r="N59" s="71"/>
      <c r="O59" s="71"/>
      <c r="P59" s="71"/>
    </row>
    <row r="60" spans="1:16" s="20" customFormat="1" x14ac:dyDescent="0.25">
      <c r="A60" s="66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340</v>
      </c>
      <c r="M60" s="68" t="s">
        <v>349</v>
      </c>
      <c r="N60" s="68" t="s">
        <v>356</v>
      </c>
      <c r="O60" s="68" t="s">
        <v>350</v>
      </c>
      <c r="P60" s="68" t="s">
        <v>354</v>
      </c>
    </row>
    <row r="61" spans="1:16" s="20" customFormat="1" x14ac:dyDescent="0.25">
      <c r="A61" s="66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6</v>
      </c>
      <c r="M61" s="59">
        <v>30</v>
      </c>
      <c r="N61" s="59">
        <v>1050</v>
      </c>
      <c r="O61" s="59">
        <f>P61-N61-M61-L61</f>
        <v>3</v>
      </c>
      <c r="P61" s="59">
        <v>1089</v>
      </c>
    </row>
    <row r="62" spans="1:16" s="20" customFormat="1" x14ac:dyDescent="0.25">
      <c r="A62" s="66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0xAF</v>
      </c>
      <c r="J62" s="20" t="str">
        <f>DEC2HEX(MOD(K62,256))</f>
        <v>AF</v>
      </c>
      <c r="K62" s="37">
        <f>L58-1</f>
        <v>175</v>
      </c>
      <c r="L62" s="71" t="s">
        <v>342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60</v>
      </c>
      <c r="M63" s="72"/>
      <c r="N63" s="72"/>
      <c r="O63" s="72"/>
      <c r="P63" s="72"/>
    </row>
    <row r="64" spans="1:16" s="20" customFormat="1" x14ac:dyDescent="0.25">
      <c r="A64" s="66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0x05</v>
      </c>
      <c r="J66" s="20" t="str">
        <f>DEC2HEX(MOD(K66,256))</f>
        <v>5</v>
      </c>
      <c r="K66" s="37">
        <f>L61-1</f>
        <v>5</v>
      </c>
      <c r="L66" s="37"/>
    </row>
    <row r="67" spans="1:12" s="20" customFormat="1" x14ac:dyDescent="0.25">
      <c r="A67" s="66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0xC8</v>
      </c>
      <c r="J68" s="20" t="str">
        <f>DEC2HEX(MOD(K68,256))</f>
        <v>C8</v>
      </c>
      <c r="K68" s="37">
        <f>L58+M58</f>
        <v>456</v>
      </c>
      <c r="L68" s="37"/>
    </row>
    <row r="69" spans="1:12" s="20" customFormat="1" x14ac:dyDescent="0.25">
      <c r="A69" s="66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0x01</v>
      </c>
      <c r="J69" s="20" t="str">
        <f>DEC2HEX((K68-MOD(K68,256))/256)</f>
        <v>1</v>
      </c>
      <c r="K69" s="37"/>
      <c r="L69" s="37"/>
    </row>
    <row r="70" spans="1:12" s="20" customFormat="1" x14ac:dyDescent="0.25">
      <c r="A70" s="66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0x57</v>
      </c>
      <c r="J70" s="20" t="str">
        <f>DEC2HEX(MOD(K70,256))</f>
        <v>57</v>
      </c>
      <c r="K70" s="37">
        <f>L58+M58+N58-1</f>
        <v>2135</v>
      </c>
      <c r="L70" s="37"/>
    </row>
    <row r="71" spans="1:12" s="20" customFormat="1" x14ac:dyDescent="0.25">
      <c r="A71" s="66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0x08</v>
      </c>
      <c r="J71" s="20" t="str">
        <f>DEC2HEX((K70-MOD(K70,256))/256)</f>
        <v>8</v>
      </c>
      <c r="K71" s="37"/>
      <c r="L71" s="37"/>
    </row>
    <row r="72" spans="1:12" s="20" customFormat="1" x14ac:dyDescent="0.25">
      <c r="A72" s="66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0x24</v>
      </c>
      <c r="J72" s="20" t="str">
        <f>DEC2HEX(MOD(K72,256))</f>
        <v>24</v>
      </c>
      <c r="K72" s="37">
        <f>L61+M61</f>
        <v>36</v>
      </c>
      <c r="L72" s="37"/>
    </row>
    <row r="73" spans="1:12" s="20" customFormat="1" x14ac:dyDescent="0.25">
      <c r="A73" s="66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0x3D</v>
      </c>
      <c r="J74" s="20" t="str">
        <f>DEC2HEX(MOD(K74,256))</f>
        <v>3D</v>
      </c>
      <c r="K74" s="37">
        <f>L61+M61+N61-1</f>
        <v>1085</v>
      </c>
      <c r="L74" s="37"/>
    </row>
    <row r="75" spans="1:12" s="20" customFormat="1" x14ac:dyDescent="0.25">
      <c r="A75" s="66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0x04</v>
      </c>
      <c r="J75" s="20" t="str">
        <f>DEC2HEX((K74-MOD(K74,256))/256)</f>
        <v>4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66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267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66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266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124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</protectedRanges>
  <mergeCells count="10">
    <mergeCell ref="A1:C1"/>
    <mergeCell ref="A47:C47"/>
    <mergeCell ref="A6:C6"/>
    <mergeCell ref="A54:C54"/>
    <mergeCell ref="A78:C78"/>
    <mergeCell ref="D102:G102"/>
    <mergeCell ref="L56:P56"/>
    <mergeCell ref="L59:P59"/>
    <mergeCell ref="L62:P62"/>
    <mergeCell ref="L63:P63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U103"/>
  <sheetViews>
    <sheetView topLeftCell="A40" zoomScale="115" zoomScaleNormal="115" workbookViewId="0">
      <selection activeCell="A47" sqref="A47:C4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3" t="s">
        <v>577</v>
      </c>
      <c r="B1" s="73"/>
      <c r="C1" s="73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136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268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7" x14ac:dyDescent="0.25">
      <c r="A6" s="73" t="s">
        <v>229</v>
      </c>
      <c r="B6" s="73"/>
      <c r="C6" s="73"/>
      <c r="D6" s="46"/>
      <c r="E6" s="47"/>
      <c r="F6" s="48"/>
      <c r="G6" s="48"/>
      <c r="H6" s="49"/>
      <c r="I6" s="13" t="s">
        <v>28</v>
      </c>
    </row>
    <row r="7" spans="1:12" x14ac:dyDescent="0.25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25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25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25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25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25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25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25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25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25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25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25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25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25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25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254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25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25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25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25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5.5" x14ac:dyDescent="0.25">
      <c r="A28" s="31" t="s">
        <v>108</v>
      </c>
      <c r="B28" s="50" t="s">
        <v>200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25">
      <c r="A29" s="31" t="s">
        <v>108</v>
      </c>
      <c r="B29" s="32" t="s">
        <v>135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25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25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5.5" x14ac:dyDescent="0.25">
      <c r="A32" s="31" t="s">
        <v>108</v>
      </c>
      <c r="B32" s="50" t="s">
        <v>199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25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25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21" t="s">
        <v>98</v>
      </c>
      <c r="K34" s="37"/>
      <c r="L34" s="37"/>
    </row>
    <row r="35" spans="1:12" s="20" customFormat="1" x14ac:dyDescent="0.25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238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25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238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25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25">
      <c r="A38" s="31" t="s">
        <v>290</v>
      </c>
      <c r="B38" s="32" t="s">
        <v>127</v>
      </c>
      <c r="C38" s="32" t="s">
        <v>122</v>
      </c>
      <c r="D38" s="21" t="s">
        <v>36</v>
      </c>
      <c r="E38" s="21" t="s">
        <v>38</v>
      </c>
      <c r="F38" s="21" t="s">
        <v>118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25">
      <c r="A39" s="31" t="s">
        <v>290</v>
      </c>
      <c r="B39" s="32" t="s">
        <v>128</v>
      </c>
      <c r="C39" s="32" t="s">
        <v>122</v>
      </c>
      <c r="D39" s="21" t="s">
        <v>36</v>
      </c>
      <c r="E39" s="21" t="s">
        <v>38</v>
      </c>
      <c r="F39" s="21" t="s">
        <v>119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25">
      <c r="A40" s="31" t="s">
        <v>290</v>
      </c>
      <c r="B40" s="32" t="s">
        <v>120</v>
      </c>
      <c r="C40" s="32" t="s">
        <v>126</v>
      </c>
      <c r="D40" s="21" t="s">
        <v>36</v>
      </c>
      <c r="E40" s="21" t="s">
        <v>38</v>
      </c>
      <c r="F40" s="21" t="s">
        <v>123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25">
      <c r="A41" s="31" t="s">
        <v>290</v>
      </c>
      <c r="B41" s="32" t="s">
        <v>121</v>
      </c>
      <c r="C41" s="32" t="s">
        <v>126</v>
      </c>
      <c r="D41" s="21" t="s">
        <v>36</v>
      </c>
      <c r="E41" s="21" t="s">
        <v>38</v>
      </c>
      <c r="F41" s="21" t="s">
        <v>124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25">
      <c r="A42" s="66" t="s">
        <v>109</v>
      </c>
      <c r="B42" s="32" t="s">
        <v>130</v>
      </c>
      <c r="C42" s="32" t="s">
        <v>132</v>
      </c>
      <c r="D42" s="21" t="s">
        <v>36</v>
      </c>
      <c r="E42" s="21" t="s">
        <v>38</v>
      </c>
      <c r="F42" s="21" t="s">
        <v>240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25">
      <c r="A43" s="66" t="s">
        <v>109</v>
      </c>
      <c r="B43" s="32" t="s">
        <v>131</v>
      </c>
      <c r="C43" s="32" t="s">
        <v>132</v>
      </c>
      <c r="D43" s="21" t="s">
        <v>36</v>
      </c>
      <c r="E43" s="21" t="s">
        <v>38</v>
      </c>
      <c r="F43" s="21" t="s">
        <v>240</v>
      </c>
      <c r="G43" s="24" t="s">
        <v>41</v>
      </c>
      <c r="H43" s="21" t="s">
        <v>33</v>
      </c>
      <c r="I43" s="21" t="s">
        <v>123</v>
      </c>
      <c r="K43" s="37"/>
      <c r="L43" s="37"/>
    </row>
    <row r="44" spans="1:12" s="20" customFormat="1" ht="38.25" x14ac:dyDescent="0.25">
      <c r="A44" s="66" t="s">
        <v>109</v>
      </c>
      <c r="B44" s="50" t="s">
        <v>198</v>
      </c>
      <c r="C44" s="32"/>
      <c r="D44" s="21" t="s">
        <v>36</v>
      </c>
      <c r="E44" s="21" t="s">
        <v>38</v>
      </c>
      <c r="F44" s="21" t="s">
        <v>242</v>
      </c>
      <c r="G44" s="22" t="s">
        <v>39</v>
      </c>
      <c r="H44" s="21" t="s">
        <v>33</v>
      </c>
      <c r="I44" s="21" t="s">
        <v>116</v>
      </c>
      <c r="K44" s="37"/>
      <c r="L44" s="37"/>
    </row>
    <row r="45" spans="1:12" s="20" customFormat="1" x14ac:dyDescent="0.25">
      <c r="A45" s="69"/>
      <c r="B45" s="54"/>
      <c r="C45" s="54"/>
      <c r="D45" s="55"/>
      <c r="E45" s="55"/>
      <c r="F45" s="55"/>
      <c r="G45" s="56"/>
      <c r="H45" s="55"/>
      <c r="I45" s="55"/>
      <c r="K45" s="37"/>
      <c r="L45" s="37"/>
    </row>
    <row r="46" spans="1:12" s="20" customFormat="1" x14ac:dyDescent="0.25">
      <c r="A46" s="69"/>
      <c r="B46" s="54"/>
      <c r="C46" s="54"/>
      <c r="D46" s="55"/>
      <c r="E46" s="55"/>
      <c r="F46" s="55"/>
      <c r="G46" s="56"/>
      <c r="H46" s="55"/>
      <c r="I46" s="55"/>
      <c r="K46" s="37"/>
      <c r="L46" s="37"/>
    </row>
    <row r="47" spans="1:12" s="20" customFormat="1" ht="27" x14ac:dyDescent="0.25">
      <c r="A47" s="73" t="s">
        <v>578</v>
      </c>
      <c r="B47" s="73"/>
      <c r="C47" s="73"/>
      <c r="D47" s="46"/>
      <c r="E47" s="47"/>
      <c r="F47" s="48"/>
      <c r="G47" s="48"/>
      <c r="H47" s="49"/>
      <c r="I47" s="13" t="s">
        <v>28</v>
      </c>
      <c r="K47" s="37"/>
      <c r="L47" s="37"/>
    </row>
    <row r="48" spans="1:12" s="20" customFormat="1" x14ac:dyDescent="0.25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K48" s="37"/>
      <c r="L48" s="37"/>
    </row>
    <row r="49" spans="1:16" s="20" customFormat="1" x14ac:dyDescent="0.25">
      <c r="A49" s="67" t="s">
        <v>109</v>
      </c>
      <c r="B49" s="62" t="s">
        <v>111</v>
      </c>
      <c r="C49" s="62" t="s">
        <v>110</v>
      </c>
      <c r="D49" s="63" t="s">
        <v>293</v>
      </c>
      <c r="E49" s="63" t="s">
        <v>38</v>
      </c>
      <c r="F49" s="63" t="s">
        <v>114</v>
      </c>
      <c r="G49" s="64" t="s">
        <v>39</v>
      </c>
      <c r="H49" s="63" t="s">
        <v>33</v>
      </c>
      <c r="I49" s="63" t="s">
        <v>284</v>
      </c>
      <c r="K49" s="37"/>
      <c r="L49" s="37"/>
    </row>
    <row r="50" spans="1:16" s="20" customFormat="1" x14ac:dyDescent="0.25">
      <c r="A50" s="66" t="s">
        <v>109</v>
      </c>
      <c r="B50" s="32" t="s">
        <v>112</v>
      </c>
      <c r="C50" s="32" t="s">
        <v>110</v>
      </c>
      <c r="D50" s="21" t="s">
        <v>293</v>
      </c>
      <c r="E50" s="21" t="s">
        <v>38</v>
      </c>
      <c r="F50" s="21" t="s">
        <v>115</v>
      </c>
      <c r="G50" s="24" t="s">
        <v>41</v>
      </c>
      <c r="H50" s="21" t="s">
        <v>33</v>
      </c>
      <c r="I50" s="21" t="s">
        <v>283</v>
      </c>
      <c r="K50" s="37"/>
      <c r="L50" s="37"/>
    </row>
    <row r="51" spans="1:16" s="20" customFormat="1" x14ac:dyDescent="0.25">
      <c r="A51" s="66" t="s">
        <v>109</v>
      </c>
      <c r="B51" s="32" t="s">
        <v>113</v>
      </c>
      <c r="C51" s="32" t="s">
        <v>110</v>
      </c>
      <c r="D51" s="21" t="s">
        <v>293</v>
      </c>
      <c r="E51" s="21" t="s">
        <v>38</v>
      </c>
      <c r="F51" s="21" t="s">
        <v>116</v>
      </c>
      <c r="G51" s="22" t="s">
        <v>39</v>
      </c>
      <c r="H51" s="21" t="s">
        <v>33</v>
      </c>
      <c r="I51" s="21" t="s">
        <v>222</v>
      </c>
      <c r="K51" s="37"/>
      <c r="L51" s="37"/>
    </row>
    <row r="52" spans="1:16" s="20" customFormat="1" x14ac:dyDescent="0.25">
      <c r="A52" s="69"/>
      <c r="B52" s="54"/>
      <c r="C52" s="54"/>
      <c r="D52" s="55"/>
      <c r="E52" s="55"/>
      <c r="F52" s="55"/>
      <c r="G52" s="56"/>
      <c r="H52" s="55"/>
      <c r="I52" s="55"/>
      <c r="K52" s="37"/>
      <c r="L52" s="37"/>
    </row>
    <row r="53" spans="1:16" s="20" customFormat="1" x14ac:dyDescent="0.25">
      <c r="A53" s="69"/>
      <c r="B53" s="54"/>
      <c r="C53" s="54"/>
      <c r="D53" s="55"/>
      <c r="E53" s="55"/>
      <c r="F53" s="55"/>
      <c r="G53" s="56"/>
      <c r="H53" s="55"/>
      <c r="I53" s="55"/>
      <c r="K53" s="37"/>
      <c r="L53" s="37"/>
    </row>
    <row r="54" spans="1:16" s="20" customFormat="1" ht="27" x14ac:dyDescent="0.25">
      <c r="A54" s="73" t="s">
        <v>236</v>
      </c>
      <c r="B54" s="73"/>
      <c r="C54" s="73"/>
      <c r="D54" s="46"/>
      <c r="E54" s="47"/>
      <c r="F54" s="48"/>
      <c r="G54" s="48"/>
      <c r="H54" s="49"/>
      <c r="I54" s="13" t="s">
        <v>28</v>
      </c>
      <c r="K54" s="37"/>
      <c r="L54" s="37"/>
    </row>
    <row r="55" spans="1:16" s="20" customFormat="1" x14ac:dyDescent="0.25">
      <c r="A55" s="14" t="s">
        <v>10</v>
      </c>
      <c r="B55" s="43" t="s">
        <v>11</v>
      </c>
      <c r="C55" s="15" t="s">
        <v>12</v>
      </c>
      <c r="D55" s="16" t="s">
        <v>13</v>
      </c>
      <c r="E55" s="17" t="s">
        <v>14</v>
      </c>
      <c r="F55" s="16" t="s">
        <v>15</v>
      </c>
      <c r="G55" s="16" t="s">
        <v>16</v>
      </c>
      <c r="H55" s="18" t="s">
        <v>17</v>
      </c>
      <c r="I55" s="19" t="s">
        <v>29</v>
      </c>
      <c r="K55" s="37"/>
      <c r="L55" s="37"/>
    </row>
    <row r="56" spans="1:16" s="20" customFormat="1" x14ac:dyDescent="0.25">
      <c r="A56" s="66" t="s">
        <v>143</v>
      </c>
      <c r="B56" s="32" t="s">
        <v>158</v>
      </c>
      <c r="C56" s="32" t="s">
        <v>156</v>
      </c>
      <c r="D56" s="21" t="s">
        <v>37</v>
      </c>
      <c r="E56" s="21" t="s">
        <v>38</v>
      </c>
      <c r="F56" s="21" t="s">
        <v>115</v>
      </c>
      <c r="G56" s="22" t="s">
        <v>39</v>
      </c>
      <c r="H56" s="21" t="s">
        <v>33</v>
      </c>
      <c r="I56" s="21" t="str">
        <f>"0x"&amp;TEXT(J56,"00")</f>
        <v>0x6F</v>
      </c>
      <c r="J56" s="20" t="str">
        <f>DEC2HEX(MOD(K56,256))</f>
        <v>6F</v>
      </c>
      <c r="K56" s="37">
        <f>P58-1</f>
        <v>2159</v>
      </c>
      <c r="L56" s="71" t="s">
        <v>41</v>
      </c>
      <c r="M56" s="71"/>
      <c r="N56" s="71"/>
      <c r="O56" s="71"/>
      <c r="P56" s="71"/>
    </row>
    <row r="57" spans="1:16" s="20" customFormat="1" x14ac:dyDescent="0.25">
      <c r="A57" s="66" t="s">
        <v>143</v>
      </c>
      <c r="B57" s="32" t="s">
        <v>158</v>
      </c>
      <c r="C57" s="32"/>
      <c r="D57" s="21" t="s">
        <v>37</v>
      </c>
      <c r="E57" s="21" t="s">
        <v>38</v>
      </c>
      <c r="F57" s="21" t="s">
        <v>114</v>
      </c>
      <c r="G57" s="24" t="s">
        <v>41</v>
      </c>
      <c r="H57" s="21" t="s">
        <v>33</v>
      </c>
      <c r="I57" s="21" t="str">
        <f t="shared" ref="I57:I75" si="0">"0x"&amp;TEXT(J57,"00")</f>
        <v>0x08</v>
      </c>
      <c r="J57" s="20" t="str">
        <f>DEC2HEX((K56-MOD(K56,256))/256)</f>
        <v>8</v>
      </c>
      <c r="K57" s="37"/>
      <c r="L57" s="68" t="s">
        <v>357</v>
      </c>
      <c r="M57" s="68" t="s">
        <v>297</v>
      </c>
      <c r="N57" s="68" t="s">
        <v>298</v>
      </c>
      <c r="O57" s="68" t="s">
        <v>358</v>
      </c>
      <c r="P57" s="68" t="s">
        <v>359</v>
      </c>
    </row>
    <row r="58" spans="1:16" s="20" customFormat="1" x14ac:dyDescent="0.25">
      <c r="A58" s="66" t="s">
        <v>143</v>
      </c>
      <c r="B58" s="32" t="s">
        <v>160</v>
      </c>
      <c r="C58" s="32" t="s">
        <v>155</v>
      </c>
      <c r="D58" s="21" t="s">
        <v>37</v>
      </c>
      <c r="E58" s="21" t="s">
        <v>38</v>
      </c>
      <c r="F58" s="21" t="s">
        <v>116</v>
      </c>
      <c r="G58" s="22" t="s">
        <v>39</v>
      </c>
      <c r="H58" s="21" t="s">
        <v>33</v>
      </c>
      <c r="I58" s="21" t="str">
        <f>"0x"&amp;TEXT(J58,"00")</f>
        <v>0xE1</v>
      </c>
      <c r="J58" s="20" t="str">
        <f>DEC2HEX(MOD(K58,256))</f>
        <v>E1</v>
      </c>
      <c r="K58" s="37">
        <f>P61-1</f>
        <v>1249</v>
      </c>
      <c r="L58" s="59">
        <v>192</v>
      </c>
      <c r="M58" s="59">
        <v>304</v>
      </c>
      <c r="N58" s="59">
        <v>1600</v>
      </c>
      <c r="O58" s="59">
        <f>P58-N58-M58-L58</f>
        <v>64</v>
      </c>
      <c r="P58" s="59">
        <v>2160</v>
      </c>
    </row>
    <row r="59" spans="1:16" s="20" customFormat="1" x14ac:dyDescent="0.25">
      <c r="A59" s="66" t="s">
        <v>143</v>
      </c>
      <c r="B59" s="32" t="s">
        <v>160</v>
      </c>
      <c r="C59" s="32"/>
      <c r="D59" s="21" t="s">
        <v>37</v>
      </c>
      <c r="E59" s="21" t="s">
        <v>38</v>
      </c>
      <c r="F59" s="21" t="s">
        <v>145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71" t="s">
        <v>303</v>
      </c>
      <c r="M59" s="71"/>
      <c r="N59" s="71"/>
      <c r="O59" s="71"/>
      <c r="P59" s="71"/>
    </row>
    <row r="60" spans="1:16" s="20" customFormat="1" x14ac:dyDescent="0.25">
      <c r="A60" s="66" t="s">
        <v>143</v>
      </c>
      <c r="B60" s="32" t="s">
        <v>157</v>
      </c>
      <c r="C60" s="32" t="s">
        <v>155</v>
      </c>
      <c r="D60" s="21" t="s">
        <v>37</v>
      </c>
      <c r="E60" s="21" t="s">
        <v>38</v>
      </c>
      <c r="F60" s="21" t="s">
        <v>146</v>
      </c>
      <c r="G60" s="22" t="s">
        <v>39</v>
      </c>
      <c r="H60" s="21" t="s">
        <v>33</v>
      </c>
      <c r="I60" s="21" t="str">
        <f t="shared" si="0"/>
        <v>0x00</v>
      </c>
      <c r="J60" s="20" t="str">
        <f>DEC2HEX(MOD(K60,256))</f>
        <v>0</v>
      </c>
      <c r="K60" s="37">
        <v>0</v>
      </c>
      <c r="L60" s="68" t="s">
        <v>295</v>
      </c>
      <c r="M60" s="68" t="s">
        <v>297</v>
      </c>
      <c r="N60" s="68" t="s">
        <v>298</v>
      </c>
      <c r="O60" s="68" t="s">
        <v>300</v>
      </c>
      <c r="P60" s="68" t="s">
        <v>302</v>
      </c>
    </row>
    <row r="61" spans="1:16" s="20" customFormat="1" x14ac:dyDescent="0.25">
      <c r="A61" s="66" t="s">
        <v>143</v>
      </c>
      <c r="B61" s="32" t="s">
        <v>157</v>
      </c>
      <c r="C61" s="32"/>
      <c r="D61" s="21" t="s">
        <v>37</v>
      </c>
      <c r="E61" s="21" t="s">
        <v>38</v>
      </c>
      <c r="F61" s="21" t="s">
        <v>146</v>
      </c>
      <c r="G61" s="24" t="s">
        <v>41</v>
      </c>
      <c r="H61" s="21" t="s">
        <v>33</v>
      </c>
      <c r="I61" s="21" t="str">
        <f t="shared" si="0"/>
        <v>0x00</v>
      </c>
      <c r="J61" s="20" t="str">
        <f>DEC2HEX((K60-MOD(K60,256))/256)</f>
        <v>0</v>
      </c>
      <c r="K61" s="37"/>
      <c r="L61" s="59">
        <v>3</v>
      </c>
      <c r="M61" s="59">
        <v>46</v>
      </c>
      <c r="N61" s="59">
        <v>1200</v>
      </c>
      <c r="O61" s="59">
        <f>P61-N61-M61-L61</f>
        <v>1</v>
      </c>
      <c r="P61" s="59">
        <v>1250</v>
      </c>
    </row>
    <row r="62" spans="1:16" s="20" customFormat="1" x14ac:dyDescent="0.25">
      <c r="A62" s="66" t="s">
        <v>143</v>
      </c>
      <c r="B62" s="32" t="s">
        <v>162</v>
      </c>
      <c r="C62" s="32" t="s">
        <v>155</v>
      </c>
      <c r="D62" s="21" t="s">
        <v>37</v>
      </c>
      <c r="E62" s="21" t="s">
        <v>38</v>
      </c>
      <c r="F62" s="21" t="s">
        <v>147</v>
      </c>
      <c r="G62" s="22" t="s">
        <v>39</v>
      </c>
      <c r="H62" s="21" t="s">
        <v>33</v>
      </c>
      <c r="I62" s="21" t="str">
        <f t="shared" si="0"/>
        <v>0xBF</v>
      </c>
      <c r="J62" s="20" t="str">
        <f>DEC2HEX(MOD(K62,256))</f>
        <v>BF</v>
      </c>
      <c r="K62" s="37">
        <f>L58-1</f>
        <v>191</v>
      </c>
      <c r="L62" s="71" t="s">
        <v>305</v>
      </c>
      <c r="M62" s="71"/>
      <c r="N62" s="71"/>
      <c r="O62" s="71"/>
      <c r="P62" s="71"/>
    </row>
    <row r="63" spans="1:16" s="20" customFormat="1" x14ac:dyDescent="0.25">
      <c r="A63" s="66" t="s">
        <v>143</v>
      </c>
      <c r="B63" s="32" t="s">
        <v>163</v>
      </c>
      <c r="C63" s="32"/>
      <c r="D63" s="21" t="s">
        <v>37</v>
      </c>
      <c r="E63" s="21" t="s">
        <v>38</v>
      </c>
      <c r="F63" s="21" t="s">
        <v>133</v>
      </c>
      <c r="G63" s="24" t="s">
        <v>41</v>
      </c>
      <c r="H63" s="21" t="s">
        <v>33</v>
      </c>
      <c r="I63" s="21" t="str">
        <f t="shared" si="0"/>
        <v>0x00</v>
      </c>
      <c r="J63" s="20" t="str">
        <f>DEC2HEX((K62-MOD(K62,256))/256)</f>
        <v>0</v>
      </c>
      <c r="K63" s="37"/>
      <c r="L63" s="72">
        <v>60</v>
      </c>
      <c r="M63" s="72"/>
      <c r="N63" s="72"/>
      <c r="O63" s="72"/>
      <c r="P63" s="72"/>
    </row>
    <row r="64" spans="1:16" s="20" customFormat="1" x14ac:dyDescent="0.25">
      <c r="A64" s="66" t="s">
        <v>143</v>
      </c>
      <c r="B64" s="32" t="s">
        <v>164</v>
      </c>
      <c r="C64" s="32" t="s">
        <v>156</v>
      </c>
      <c r="D64" s="21" t="s">
        <v>37</v>
      </c>
      <c r="E64" s="21" t="s">
        <v>38</v>
      </c>
      <c r="F64" s="21" t="s">
        <v>68</v>
      </c>
      <c r="G64" s="22" t="s">
        <v>39</v>
      </c>
      <c r="H64" s="21" t="s">
        <v>33</v>
      </c>
      <c r="I64" s="21" t="str">
        <f t="shared" si="0"/>
        <v>0x00</v>
      </c>
      <c r="J64" s="20" t="str">
        <f>DEC2HEX(MOD(K64,256))</f>
        <v>0</v>
      </c>
      <c r="K64" s="37">
        <v>0</v>
      </c>
      <c r="L64" s="37"/>
    </row>
    <row r="65" spans="1:12" s="20" customFormat="1" x14ac:dyDescent="0.25">
      <c r="A65" s="66" t="s">
        <v>143</v>
      </c>
      <c r="B65" s="32" t="s">
        <v>165</v>
      </c>
      <c r="C65" s="32"/>
      <c r="D65" s="21" t="s">
        <v>37</v>
      </c>
      <c r="E65" s="21" t="s">
        <v>38</v>
      </c>
      <c r="F65" s="21" t="s">
        <v>68</v>
      </c>
      <c r="G65" s="24" t="s">
        <v>41</v>
      </c>
      <c r="H65" s="21" t="s">
        <v>33</v>
      </c>
      <c r="I65" s="21" t="str">
        <f t="shared" si="0"/>
        <v>0x00</v>
      </c>
      <c r="J65" s="20" t="str">
        <f>DEC2HEX((K64-MOD(K64,256))/256)</f>
        <v>0</v>
      </c>
      <c r="K65" s="37"/>
      <c r="L65" s="37"/>
    </row>
    <row r="66" spans="1:12" s="20" customFormat="1" x14ac:dyDescent="0.25">
      <c r="A66" s="66" t="s">
        <v>143</v>
      </c>
      <c r="B66" s="32" t="s">
        <v>166</v>
      </c>
      <c r="C66" s="32" t="s">
        <v>156</v>
      </c>
      <c r="D66" s="21" t="s">
        <v>37</v>
      </c>
      <c r="E66" s="21" t="s">
        <v>38</v>
      </c>
      <c r="F66" s="21" t="s">
        <v>149</v>
      </c>
      <c r="G66" s="22" t="s">
        <v>39</v>
      </c>
      <c r="H66" s="21" t="s">
        <v>33</v>
      </c>
      <c r="I66" s="21" t="str">
        <f t="shared" si="0"/>
        <v>0x02</v>
      </c>
      <c r="J66" s="20" t="str">
        <f>DEC2HEX(MOD(K66,256))</f>
        <v>2</v>
      </c>
      <c r="K66" s="37">
        <f>L61-1</f>
        <v>2</v>
      </c>
      <c r="L66" s="37"/>
    </row>
    <row r="67" spans="1:12" s="20" customFormat="1" x14ac:dyDescent="0.25">
      <c r="A67" s="66" t="s">
        <v>143</v>
      </c>
      <c r="B67" s="32" t="s">
        <v>167</v>
      </c>
      <c r="C67" s="32"/>
      <c r="D67" s="21" t="s">
        <v>37</v>
      </c>
      <c r="E67" s="21" t="s">
        <v>38</v>
      </c>
      <c r="F67" s="21" t="s">
        <v>150</v>
      </c>
      <c r="G67" s="24" t="s">
        <v>41</v>
      </c>
      <c r="H67" s="21" t="s">
        <v>33</v>
      </c>
      <c r="I67" s="21" t="str">
        <f t="shared" si="0"/>
        <v>0x00</v>
      </c>
      <c r="J67" s="20" t="str">
        <f>DEC2HEX((K66-MOD(K66,256))/256)</f>
        <v>0</v>
      </c>
      <c r="K67" s="37"/>
      <c r="L67" s="37"/>
    </row>
    <row r="68" spans="1:12" s="20" customFormat="1" x14ac:dyDescent="0.25">
      <c r="A68" s="66" t="s">
        <v>143</v>
      </c>
      <c r="B68" s="32" t="s">
        <v>168</v>
      </c>
      <c r="C68" s="32" t="s">
        <v>156</v>
      </c>
      <c r="D68" s="21" t="s">
        <v>37</v>
      </c>
      <c r="E68" s="21" t="s">
        <v>38</v>
      </c>
      <c r="F68" s="21" t="s">
        <v>44</v>
      </c>
      <c r="G68" s="22" t="s">
        <v>39</v>
      </c>
      <c r="H68" s="21" t="s">
        <v>33</v>
      </c>
      <c r="I68" s="21" t="str">
        <f t="shared" si="0"/>
        <v>0xF0</v>
      </c>
      <c r="J68" s="20" t="str">
        <f>DEC2HEX(MOD(K68,256))</f>
        <v>F0</v>
      </c>
      <c r="K68" s="37">
        <f>L58+M58</f>
        <v>496</v>
      </c>
      <c r="L68" s="37"/>
    </row>
    <row r="69" spans="1:12" s="20" customFormat="1" x14ac:dyDescent="0.25">
      <c r="A69" s="66" t="s">
        <v>143</v>
      </c>
      <c r="B69" s="32" t="s">
        <v>168</v>
      </c>
      <c r="C69" s="32"/>
      <c r="D69" s="21" t="s">
        <v>37</v>
      </c>
      <c r="E69" s="21" t="s">
        <v>38</v>
      </c>
      <c r="F69" s="21" t="s">
        <v>44</v>
      </c>
      <c r="G69" s="24" t="s">
        <v>41</v>
      </c>
      <c r="H69" s="21" t="s">
        <v>33</v>
      </c>
      <c r="I69" s="21" t="str">
        <f t="shared" si="0"/>
        <v>0x01</v>
      </c>
      <c r="J69" s="20" t="str">
        <f>DEC2HEX((K68-MOD(K68,256))/256)</f>
        <v>1</v>
      </c>
      <c r="K69" s="37"/>
      <c r="L69" s="37"/>
    </row>
    <row r="70" spans="1:12" s="20" customFormat="1" x14ac:dyDescent="0.25">
      <c r="A70" s="66" t="s">
        <v>143</v>
      </c>
      <c r="B70" s="32" t="s">
        <v>170</v>
      </c>
      <c r="C70" s="32" t="s">
        <v>156</v>
      </c>
      <c r="D70" s="21" t="s">
        <v>37</v>
      </c>
      <c r="E70" s="21" t="s">
        <v>38</v>
      </c>
      <c r="F70" s="21" t="s">
        <v>51</v>
      </c>
      <c r="G70" s="22" t="s">
        <v>39</v>
      </c>
      <c r="H70" s="21" t="s">
        <v>33</v>
      </c>
      <c r="I70" s="21" t="str">
        <f t="shared" si="0"/>
        <v>0x2F</v>
      </c>
      <c r="J70" s="20" t="str">
        <f>DEC2HEX(MOD(K70,256))</f>
        <v>2F</v>
      </c>
      <c r="K70" s="37">
        <f>L58+M58+N58-1</f>
        <v>2095</v>
      </c>
      <c r="L70" s="37"/>
    </row>
    <row r="71" spans="1:12" s="20" customFormat="1" x14ac:dyDescent="0.25">
      <c r="A71" s="66" t="s">
        <v>143</v>
      </c>
      <c r="B71" s="32" t="s">
        <v>170</v>
      </c>
      <c r="C71" s="32"/>
      <c r="D71" s="21" t="s">
        <v>37</v>
      </c>
      <c r="E71" s="21" t="s">
        <v>38</v>
      </c>
      <c r="F71" s="21" t="s">
        <v>151</v>
      </c>
      <c r="G71" s="24" t="s">
        <v>41</v>
      </c>
      <c r="H71" s="21" t="s">
        <v>33</v>
      </c>
      <c r="I71" s="21" t="str">
        <f t="shared" si="0"/>
        <v>0x08</v>
      </c>
      <c r="J71" s="20" t="str">
        <f>DEC2HEX((K70-MOD(K70,256))/256)</f>
        <v>8</v>
      </c>
      <c r="K71" s="37"/>
      <c r="L71" s="37"/>
    </row>
    <row r="72" spans="1:12" s="20" customFormat="1" x14ac:dyDescent="0.25">
      <c r="A72" s="66" t="s">
        <v>143</v>
      </c>
      <c r="B72" s="32" t="s">
        <v>172</v>
      </c>
      <c r="C72" s="32" t="s">
        <v>156</v>
      </c>
      <c r="D72" s="21" t="s">
        <v>37</v>
      </c>
      <c r="E72" s="21" t="s">
        <v>38</v>
      </c>
      <c r="F72" s="21" t="s">
        <v>152</v>
      </c>
      <c r="G72" s="22" t="s">
        <v>39</v>
      </c>
      <c r="H72" s="21" t="s">
        <v>33</v>
      </c>
      <c r="I72" s="21" t="str">
        <f t="shared" si="0"/>
        <v>0x31</v>
      </c>
      <c r="J72" s="20" t="str">
        <f>DEC2HEX(MOD(K72,256))</f>
        <v>31</v>
      </c>
      <c r="K72" s="37">
        <f>L61+M61</f>
        <v>49</v>
      </c>
      <c r="L72" s="37"/>
    </row>
    <row r="73" spans="1:12" s="20" customFormat="1" x14ac:dyDescent="0.25">
      <c r="A73" s="66" t="s">
        <v>143</v>
      </c>
      <c r="B73" s="32" t="s">
        <v>173</v>
      </c>
      <c r="C73" s="32"/>
      <c r="D73" s="21" t="s">
        <v>37</v>
      </c>
      <c r="E73" s="21" t="s">
        <v>38</v>
      </c>
      <c r="F73" s="21" t="s">
        <v>152</v>
      </c>
      <c r="G73" s="24" t="s">
        <v>41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37"/>
    </row>
    <row r="74" spans="1:12" s="20" customFormat="1" x14ac:dyDescent="0.25">
      <c r="A74" s="66" t="s">
        <v>143</v>
      </c>
      <c r="B74" s="32" t="s">
        <v>174</v>
      </c>
      <c r="C74" s="32" t="s">
        <v>156</v>
      </c>
      <c r="D74" s="21" t="s">
        <v>37</v>
      </c>
      <c r="E74" s="21" t="s">
        <v>38</v>
      </c>
      <c r="F74" s="21" t="s">
        <v>153</v>
      </c>
      <c r="G74" s="22" t="s">
        <v>39</v>
      </c>
      <c r="H74" s="21" t="s">
        <v>33</v>
      </c>
      <c r="I74" s="21" t="str">
        <f t="shared" si="0"/>
        <v>0xE0</v>
      </c>
      <c r="J74" s="20" t="str">
        <f>DEC2HEX(MOD(K74,256))</f>
        <v>E0</v>
      </c>
      <c r="K74" s="37">
        <f>L61+M61+N61-1</f>
        <v>1248</v>
      </c>
      <c r="L74" s="37"/>
    </row>
    <row r="75" spans="1:12" s="20" customFormat="1" x14ac:dyDescent="0.25">
      <c r="A75" s="66" t="s">
        <v>143</v>
      </c>
      <c r="B75" s="32" t="s">
        <v>174</v>
      </c>
      <c r="C75" s="32"/>
      <c r="D75" s="21" t="s">
        <v>37</v>
      </c>
      <c r="E75" s="21" t="s">
        <v>38</v>
      </c>
      <c r="F75" s="21" t="s">
        <v>154</v>
      </c>
      <c r="G75" s="24" t="s">
        <v>41</v>
      </c>
      <c r="H75" s="21" t="s">
        <v>33</v>
      </c>
      <c r="I75" s="21" t="str">
        <f t="shared" si="0"/>
        <v>0x04</v>
      </c>
      <c r="J75" s="20" t="str">
        <f>DEC2HEX((K74-MOD(K74,256))/256)</f>
        <v>4</v>
      </c>
      <c r="K75" s="37"/>
      <c r="L75" s="37"/>
    </row>
    <row r="76" spans="1:12" s="20" customFormat="1" x14ac:dyDescent="0.25">
      <c r="A76" s="53"/>
      <c r="B76" s="54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x14ac:dyDescent="0.25">
      <c r="A77" s="53"/>
      <c r="B77" s="54"/>
      <c r="C77" s="54"/>
      <c r="D77" s="55"/>
      <c r="E77" s="55"/>
      <c r="F77" s="55"/>
      <c r="G77" s="56"/>
      <c r="H77" s="55"/>
      <c r="I77" s="55"/>
      <c r="K77" s="37"/>
      <c r="L77" s="37"/>
    </row>
    <row r="78" spans="1:12" s="20" customFormat="1" ht="27" x14ac:dyDescent="0.25">
      <c r="A78" s="73" t="s">
        <v>233</v>
      </c>
      <c r="B78" s="73"/>
      <c r="C78" s="73"/>
      <c r="D78" s="65"/>
      <c r="E78" s="65"/>
      <c r="F78" s="21"/>
      <c r="G78" s="21"/>
      <c r="H78" s="21"/>
      <c r="I78" s="13" t="s">
        <v>28</v>
      </c>
      <c r="K78" s="37"/>
      <c r="L78" s="37"/>
    </row>
    <row r="79" spans="1:12" s="20" customFormat="1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  <c r="K79" s="37"/>
      <c r="L79" s="37"/>
    </row>
    <row r="80" spans="1:12" s="20" customFormat="1" x14ac:dyDescent="0.25">
      <c r="A80" s="31" t="s">
        <v>143</v>
      </c>
      <c r="B80" s="32" t="s">
        <v>177</v>
      </c>
      <c r="C80" s="32" t="s">
        <v>178</v>
      </c>
      <c r="D80" s="21" t="s">
        <v>37</v>
      </c>
      <c r="E80" s="21" t="s">
        <v>38</v>
      </c>
      <c r="F80" s="21" t="s">
        <v>43</v>
      </c>
      <c r="G80" s="22" t="s">
        <v>39</v>
      </c>
      <c r="H80" s="21" t="s">
        <v>33</v>
      </c>
      <c r="I80" s="21" t="s">
        <v>43</v>
      </c>
      <c r="K80" s="37"/>
      <c r="L80" s="37"/>
    </row>
    <row r="81" spans="1:12" s="20" customFormat="1" x14ac:dyDescent="0.25">
      <c r="A81" s="31" t="s">
        <v>143</v>
      </c>
      <c r="B81" s="32" t="s">
        <v>182</v>
      </c>
      <c r="C81" s="32" t="s">
        <v>181</v>
      </c>
      <c r="D81" s="21" t="s">
        <v>37</v>
      </c>
      <c r="E81" s="21" t="s">
        <v>38</v>
      </c>
      <c r="F81" s="21" t="s">
        <v>179</v>
      </c>
      <c r="G81" s="22" t="s">
        <v>39</v>
      </c>
      <c r="H81" s="21" t="s">
        <v>33</v>
      </c>
      <c r="I81" s="21" t="s">
        <v>180</v>
      </c>
      <c r="K81" s="37"/>
      <c r="L81" s="37"/>
    </row>
    <row r="82" spans="1:12" s="20" customFormat="1" x14ac:dyDescent="0.25">
      <c r="A82" s="31" t="s">
        <v>143</v>
      </c>
      <c r="B82" s="32" t="s">
        <v>184</v>
      </c>
      <c r="C82" s="32" t="s">
        <v>186</v>
      </c>
      <c r="D82" s="21" t="s">
        <v>37</v>
      </c>
      <c r="E82" s="21" t="s">
        <v>38</v>
      </c>
      <c r="F82" s="21" t="s">
        <v>183</v>
      </c>
      <c r="G82" s="22" t="s">
        <v>39</v>
      </c>
      <c r="H82" s="21" t="s">
        <v>33</v>
      </c>
      <c r="I82" s="21" t="s">
        <v>176</v>
      </c>
      <c r="K82" s="37"/>
      <c r="L82" s="37"/>
    </row>
    <row r="83" spans="1:12" s="20" customFormat="1" ht="25.5" x14ac:dyDescent="0.25">
      <c r="A83" s="31" t="s">
        <v>143</v>
      </c>
      <c r="B83" s="50" t="s">
        <v>185</v>
      </c>
      <c r="C83" s="32" t="s">
        <v>188</v>
      </c>
      <c r="D83" s="21" t="s">
        <v>37</v>
      </c>
      <c r="E83" s="21" t="s">
        <v>38</v>
      </c>
      <c r="F83" s="21" t="s">
        <v>187</v>
      </c>
      <c r="G83" s="24" t="s">
        <v>41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143</v>
      </c>
      <c r="B84" s="32" t="s">
        <v>189</v>
      </c>
      <c r="C84" s="32" t="s">
        <v>191</v>
      </c>
      <c r="D84" s="21" t="s">
        <v>37</v>
      </c>
      <c r="E84" s="21" t="s">
        <v>38</v>
      </c>
      <c r="F84" s="21" t="s">
        <v>244</v>
      </c>
      <c r="G84" s="22" t="s">
        <v>39</v>
      </c>
      <c r="H84" s="21" t="s">
        <v>33</v>
      </c>
      <c r="I84" s="21" t="s">
        <v>125</v>
      </c>
      <c r="K84" s="37"/>
      <c r="L84" s="37"/>
    </row>
    <row r="85" spans="1:12" s="20" customFormat="1" ht="25.5" x14ac:dyDescent="0.25">
      <c r="A85" s="31" t="s">
        <v>143</v>
      </c>
      <c r="B85" s="50" t="s">
        <v>190</v>
      </c>
      <c r="C85" s="32" t="s">
        <v>188</v>
      </c>
      <c r="D85" s="21" t="s">
        <v>37</v>
      </c>
      <c r="E85" s="21" t="s">
        <v>38</v>
      </c>
      <c r="F85" s="21" t="s">
        <v>244</v>
      </c>
      <c r="G85" s="24" t="s">
        <v>41</v>
      </c>
      <c r="H85" s="21" t="s">
        <v>33</v>
      </c>
      <c r="I85" s="21" t="s">
        <v>40</v>
      </c>
      <c r="K85" s="37"/>
      <c r="L85" s="37"/>
    </row>
    <row r="86" spans="1:12" s="20" customFormat="1" x14ac:dyDescent="0.25">
      <c r="A86" s="31" t="s">
        <v>143</v>
      </c>
      <c r="B86" s="32" t="s">
        <v>193</v>
      </c>
      <c r="C86" s="32" t="s">
        <v>194</v>
      </c>
      <c r="D86" s="21" t="s">
        <v>37</v>
      </c>
      <c r="E86" s="21" t="s">
        <v>38</v>
      </c>
      <c r="F86" s="21" t="s">
        <v>246</v>
      </c>
      <c r="G86" s="22" t="s">
        <v>39</v>
      </c>
      <c r="H86" s="21" t="s">
        <v>33</v>
      </c>
      <c r="I86" s="21" t="s">
        <v>40</v>
      </c>
      <c r="K86" s="37"/>
      <c r="L86" s="37"/>
    </row>
    <row r="87" spans="1:12" s="20" customFormat="1" ht="25.5" x14ac:dyDescent="0.25">
      <c r="A87" s="31" t="s">
        <v>143</v>
      </c>
      <c r="B87" s="50" t="s">
        <v>195</v>
      </c>
      <c r="C87" s="50" t="s">
        <v>196</v>
      </c>
      <c r="D87" s="21" t="s">
        <v>37</v>
      </c>
      <c r="E87" s="21" t="s">
        <v>38</v>
      </c>
      <c r="F87" s="21" t="s">
        <v>246</v>
      </c>
      <c r="G87" s="24" t="s">
        <v>41</v>
      </c>
      <c r="H87" s="21" t="s">
        <v>33</v>
      </c>
      <c r="I87" s="21" t="s">
        <v>192</v>
      </c>
      <c r="K87" s="37"/>
      <c r="L87" s="37"/>
    </row>
    <row r="88" spans="1:12" s="20" customFormat="1" ht="25.5" x14ac:dyDescent="0.25">
      <c r="A88" s="31" t="s">
        <v>143</v>
      </c>
      <c r="B88" s="50" t="s">
        <v>201</v>
      </c>
      <c r="C88" s="32" t="s">
        <v>197</v>
      </c>
      <c r="D88" s="21" t="s">
        <v>37</v>
      </c>
      <c r="E88" s="21" t="s">
        <v>38</v>
      </c>
      <c r="F88" s="21" t="s">
        <v>248</v>
      </c>
      <c r="G88" s="22" t="s">
        <v>39</v>
      </c>
      <c r="H88" s="21" t="s">
        <v>33</v>
      </c>
      <c r="I88" s="21" t="s">
        <v>203</v>
      </c>
      <c r="K88" s="37"/>
      <c r="L88" s="37"/>
    </row>
    <row r="89" spans="1:12" s="20" customFormat="1" x14ac:dyDescent="0.25">
      <c r="A89" s="31" t="s">
        <v>143</v>
      </c>
      <c r="B89" s="32" t="s">
        <v>202</v>
      </c>
      <c r="C89" s="32" t="s">
        <v>197</v>
      </c>
      <c r="D89" s="21" t="s">
        <v>37</v>
      </c>
      <c r="E89" s="21" t="s">
        <v>38</v>
      </c>
      <c r="F89" s="21" t="s">
        <v>248</v>
      </c>
      <c r="G89" s="24" t="s">
        <v>41</v>
      </c>
      <c r="H89" s="21" t="s">
        <v>33</v>
      </c>
      <c r="I89" s="21" t="s">
        <v>40</v>
      </c>
      <c r="K89" s="37"/>
      <c r="L89" s="37"/>
    </row>
    <row r="90" spans="1:12" s="20" customFormat="1" ht="25.5" x14ac:dyDescent="0.25">
      <c r="A90" s="31" t="s">
        <v>143</v>
      </c>
      <c r="B90" s="50" t="s">
        <v>205</v>
      </c>
      <c r="C90" s="32" t="s">
        <v>206</v>
      </c>
      <c r="D90" s="21" t="s">
        <v>37</v>
      </c>
      <c r="E90" s="21" t="s">
        <v>38</v>
      </c>
      <c r="F90" s="21" t="s">
        <v>251</v>
      </c>
      <c r="G90" s="22" t="s">
        <v>39</v>
      </c>
      <c r="H90" s="21" t="s">
        <v>33</v>
      </c>
      <c r="I90" s="21" t="s">
        <v>204</v>
      </c>
      <c r="K90" s="37"/>
      <c r="L90" s="37"/>
    </row>
    <row r="91" spans="1:12" s="20" customFormat="1" x14ac:dyDescent="0.25">
      <c r="A91" s="66" t="s">
        <v>143</v>
      </c>
      <c r="B91" s="32"/>
      <c r="C91" s="32" t="s">
        <v>207</v>
      </c>
      <c r="D91" s="21" t="s">
        <v>37</v>
      </c>
      <c r="E91" s="21" t="s">
        <v>38</v>
      </c>
      <c r="F91" s="21" t="s">
        <v>90</v>
      </c>
      <c r="G91" s="22" t="s">
        <v>39</v>
      </c>
      <c r="H91" s="21" t="s">
        <v>33</v>
      </c>
      <c r="I91" s="21" t="s">
        <v>267</v>
      </c>
      <c r="K91" s="37"/>
      <c r="L91" s="37"/>
    </row>
    <row r="92" spans="1:12" s="20" customFormat="1" x14ac:dyDescent="0.25">
      <c r="A92" s="66" t="s">
        <v>143</v>
      </c>
      <c r="B92" s="32"/>
      <c r="C92" s="32" t="s">
        <v>207</v>
      </c>
      <c r="D92" s="21" t="s">
        <v>37</v>
      </c>
      <c r="E92" s="21" t="s">
        <v>38</v>
      </c>
      <c r="F92" s="21" t="s">
        <v>90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25">
      <c r="A93" s="66" t="s">
        <v>143</v>
      </c>
      <c r="B93" s="32"/>
      <c r="C93" s="32" t="s">
        <v>207</v>
      </c>
      <c r="D93" s="21" t="s">
        <v>37</v>
      </c>
      <c r="E93" s="21" t="s">
        <v>38</v>
      </c>
      <c r="F93" s="21" t="s">
        <v>208</v>
      </c>
      <c r="G93" s="22" t="s">
        <v>39</v>
      </c>
      <c r="H93" s="21" t="s">
        <v>33</v>
      </c>
      <c r="I93" s="21" t="s">
        <v>266</v>
      </c>
      <c r="K93" s="37"/>
      <c r="L93" s="37"/>
    </row>
    <row r="94" spans="1:12" s="20" customFormat="1" x14ac:dyDescent="0.25">
      <c r="A94" s="66" t="s">
        <v>143</v>
      </c>
      <c r="B94" s="32"/>
      <c r="C94" s="32" t="s">
        <v>207</v>
      </c>
      <c r="D94" s="21" t="s">
        <v>37</v>
      </c>
      <c r="E94" s="21" t="s">
        <v>38</v>
      </c>
      <c r="F94" s="21" t="s">
        <v>209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ht="25.5" x14ac:dyDescent="0.25">
      <c r="A95" s="31" t="s">
        <v>143</v>
      </c>
      <c r="B95" s="50" t="s">
        <v>214</v>
      </c>
      <c r="C95" s="32" t="s">
        <v>215</v>
      </c>
      <c r="D95" s="21" t="s">
        <v>37</v>
      </c>
      <c r="E95" s="21" t="s">
        <v>38</v>
      </c>
      <c r="F95" s="21" t="s">
        <v>124</v>
      </c>
      <c r="G95" s="22" t="s">
        <v>39</v>
      </c>
      <c r="H95" s="21" t="s">
        <v>33</v>
      </c>
      <c r="I95" s="21" t="s">
        <v>81</v>
      </c>
      <c r="K95" s="37"/>
      <c r="L95" s="37"/>
    </row>
    <row r="96" spans="1:12" s="20" customFormat="1" x14ac:dyDescent="0.25">
      <c r="A96" s="31" t="s">
        <v>143</v>
      </c>
      <c r="B96" s="32" t="s">
        <v>256</v>
      </c>
      <c r="C96" s="32" t="s">
        <v>215</v>
      </c>
      <c r="D96" s="21" t="s">
        <v>37</v>
      </c>
      <c r="E96" s="21" t="s">
        <v>38</v>
      </c>
      <c r="F96" s="21" t="s">
        <v>123</v>
      </c>
      <c r="G96" s="24" t="s">
        <v>41</v>
      </c>
      <c r="H96" s="21" t="s">
        <v>33</v>
      </c>
      <c r="I96" s="21" t="s">
        <v>216</v>
      </c>
      <c r="K96" s="37"/>
      <c r="L96" s="37"/>
    </row>
    <row r="97" spans="1:12" s="20" customFormat="1" x14ac:dyDescent="0.25">
      <c r="A97" s="31" t="s">
        <v>143</v>
      </c>
      <c r="B97" s="32" t="s">
        <v>211</v>
      </c>
      <c r="C97" s="32" t="s">
        <v>212</v>
      </c>
      <c r="D97" s="21" t="s">
        <v>37</v>
      </c>
      <c r="E97" s="21" t="s">
        <v>38</v>
      </c>
      <c r="F97" s="21" t="s">
        <v>40</v>
      </c>
      <c r="G97" s="22" t="s">
        <v>39</v>
      </c>
      <c r="H97" s="21" t="s">
        <v>33</v>
      </c>
      <c r="I97" s="21" t="s">
        <v>43</v>
      </c>
      <c r="K97" s="37"/>
      <c r="L97" s="37"/>
    </row>
    <row r="98" spans="1:12" s="20" customFormat="1" x14ac:dyDescent="0.25">
      <c r="A98" s="31" t="s">
        <v>137</v>
      </c>
      <c r="B98" s="52" t="s">
        <v>141</v>
      </c>
      <c r="C98" s="32" t="s">
        <v>139</v>
      </c>
      <c r="D98" s="21" t="s">
        <v>291</v>
      </c>
      <c r="E98" s="21" t="s">
        <v>38</v>
      </c>
      <c r="F98" s="21" t="s">
        <v>92</v>
      </c>
      <c r="G98" s="22" t="s">
        <v>39</v>
      </c>
      <c r="H98" s="21" t="s">
        <v>33</v>
      </c>
      <c r="I98" s="21" t="s">
        <v>40</v>
      </c>
      <c r="K98" s="37"/>
      <c r="L98" s="37"/>
    </row>
    <row r="99" spans="1:12" s="20" customFormat="1" x14ac:dyDescent="0.25">
      <c r="A99" s="31" t="s">
        <v>137</v>
      </c>
      <c r="B99" s="52" t="s">
        <v>138</v>
      </c>
      <c r="C99" s="32" t="s">
        <v>140</v>
      </c>
      <c r="D99" s="21" t="s">
        <v>291</v>
      </c>
      <c r="E99" s="21" t="s">
        <v>38</v>
      </c>
      <c r="F99" s="21" t="s">
        <v>142</v>
      </c>
      <c r="G99" s="22" t="s">
        <v>39</v>
      </c>
      <c r="H99" s="21" t="s">
        <v>33</v>
      </c>
      <c r="I99" s="21" t="s">
        <v>40</v>
      </c>
      <c r="K99" s="37"/>
      <c r="L99" s="37"/>
    </row>
    <row r="100" spans="1:12" s="20" customFormat="1" x14ac:dyDescent="0.25">
      <c r="A100" s="53"/>
      <c r="B100" s="51"/>
      <c r="C100" s="54"/>
      <c r="D100" s="55"/>
      <c r="E100" s="55"/>
      <c r="F100" s="55"/>
      <c r="G100" s="56"/>
      <c r="H100" s="55"/>
      <c r="I100" s="55"/>
      <c r="K100" s="37"/>
      <c r="L100" s="37"/>
    </row>
    <row r="101" spans="1:12" s="20" customFormat="1" x14ac:dyDescent="0.25">
      <c r="A101" s="53"/>
      <c r="B101" s="51"/>
      <c r="C101" s="54"/>
      <c r="D101" s="55"/>
      <c r="E101" s="55"/>
      <c r="F101" s="55"/>
      <c r="G101" s="56"/>
      <c r="H101" s="55"/>
      <c r="I101" s="55"/>
      <c r="K101" s="37"/>
      <c r="L101" s="37"/>
    </row>
    <row r="102" spans="1:12" ht="30" x14ac:dyDescent="0.25">
      <c r="A102" s="57"/>
      <c r="B102" s="58"/>
      <c r="C102" s="57"/>
      <c r="D102" s="74" t="s">
        <v>18</v>
      </c>
      <c r="E102" s="74"/>
      <c r="F102" s="74"/>
      <c r="G102" s="74"/>
      <c r="H102" s="59"/>
      <c r="I102" s="60"/>
      <c r="K102" s="20"/>
      <c r="L102" s="20"/>
    </row>
    <row r="103" spans="1:12" x14ac:dyDescent="0.25">
      <c r="A103" s="20"/>
      <c r="B103" s="44"/>
      <c r="C103" s="20"/>
      <c r="D103" s="20"/>
      <c r="E103" s="20"/>
      <c r="F103" s="30"/>
      <c r="G103" s="30"/>
      <c r="H103" s="30"/>
      <c r="I103" s="39"/>
    </row>
  </sheetData>
  <protectedRanges>
    <protectedRange password="EBC5" sqref="I98:I101 I8:I37 I3 I45:I46 I42:I44 I49:I53" name="範圍1_3_3_1_1_1_2_1_1_2_1"/>
    <protectedRange password="EBC5" sqref="I76:I77" name="範圍1_3_3_1_1_1_2_1_1_2_1_1"/>
    <protectedRange password="EBC5" sqref="I80:I97" name="範圍1_3_3_1_1_1_2_1_1_2_2"/>
    <protectedRange password="EBC5" sqref="I38:I41" name="範圍1_3_3_1_1_1_2_1_1_2"/>
    <protectedRange password="EBC5" sqref="I56:I75" name="範圍1_3_3_1_1_1_2_1_1_2_1_2"/>
  </protectedRanges>
  <mergeCells count="10">
    <mergeCell ref="A1:C1"/>
    <mergeCell ref="A47:C47"/>
    <mergeCell ref="A6:C6"/>
    <mergeCell ref="A54:C54"/>
    <mergeCell ref="A78:C78"/>
    <mergeCell ref="D102:G102"/>
    <mergeCell ref="L56:P56"/>
    <mergeCell ref="L59:P59"/>
    <mergeCell ref="L62:P62"/>
    <mergeCell ref="L63:P63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2"/>
  <sheetViews>
    <sheetView workbookViewId="0">
      <selection activeCell="U20" sqref="U20"/>
    </sheetView>
  </sheetViews>
  <sheetFormatPr defaultRowHeight="16.5" x14ac:dyDescent="0.25"/>
  <cols>
    <col min="1" max="1" width="13.5" customWidth="1"/>
    <col min="2" max="2" width="17.75" customWidth="1"/>
  </cols>
  <sheetData>
    <row r="1" spans="1:2" x14ac:dyDescent="0.25">
      <c r="A1" s="25" t="s">
        <v>19</v>
      </c>
      <c r="B1" s="26">
        <v>44089.522453703707</v>
      </c>
    </row>
    <row r="2" spans="1:2" x14ac:dyDescent="0.25">
      <c r="A2" s="25" t="s">
        <v>20</v>
      </c>
      <c r="B2" s="26">
        <v>39630.438530092593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9"/>
  <sheetViews>
    <sheetView workbookViewId="0">
      <selection activeCell="F8" sqref="F8"/>
    </sheetView>
  </sheetViews>
  <sheetFormatPr defaultRowHeight="16.5" x14ac:dyDescent="0.25"/>
  <cols>
    <col min="1" max="1" width="34.5" bestFit="1" customWidth="1"/>
    <col min="2" max="2" width="12.75" customWidth="1"/>
  </cols>
  <sheetData>
    <row r="1" spans="1:2" ht="27" customHeight="1" x14ac:dyDescent="0.25">
      <c r="A1" s="28" t="s">
        <v>22</v>
      </c>
      <c r="B1" s="29" t="s">
        <v>27</v>
      </c>
    </row>
    <row r="2" spans="1:2" ht="27" customHeight="1" x14ac:dyDescent="0.25">
      <c r="A2" s="38" t="s">
        <v>568</v>
      </c>
      <c r="B2" s="27" t="s">
        <v>252</v>
      </c>
    </row>
    <row r="3" spans="1:2" ht="27" customHeight="1" x14ac:dyDescent="0.25">
      <c r="A3" s="38" t="s">
        <v>229</v>
      </c>
      <c r="B3" s="27" t="s">
        <v>24</v>
      </c>
    </row>
    <row r="4" spans="1:2" ht="27" customHeight="1" x14ac:dyDescent="0.25">
      <c r="A4" s="38" t="s">
        <v>573</v>
      </c>
      <c r="B4" s="27" t="s">
        <v>579</v>
      </c>
    </row>
    <row r="5" spans="1:2" ht="20.25" x14ac:dyDescent="0.25">
      <c r="A5" s="38" t="s">
        <v>236</v>
      </c>
      <c r="B5" s="27" t="s">
        <v>24</v>
      </c>
    </row>
    <row r="6" spans="1:2" ht="20.25" x14ac:dyDescent="0.25">
      <c r="A6" s="38" t="s">
        <v>233</v>
      </c>
      <c r="B6" s="27" t="s">
        <v>252</v>
      </c>
    </row>
    <row r="7" spans="1:2" ht="20.25" x14ac:dyDescent="0.25">
      <c r="A7" s="12"/>
      <c r="B7" s="12"/>
    </row>
    <row r="8" spans="1:2" ht="20.25" x14ac:dyDescent="0.25">
      <c r="A8" s="12"/>
      <c r="B8" s="12"/>
    </row>
    <row r="9" spans="1:2" ht="20.25" x14ac:dyDescent="0.25">
      <c r="A9" s="12"/>
      <c r="B9" s="1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19"/>
  <sheetViews>
    <sheetView workbookViewId="0">
      <selection activeCell="B7" sqref="B7"/>
    </sheetView>
  </sheetViews>
  <sheetFormatPr defaultRowHeight="16.5" x14ac:dyDescent="0.25"/>
  <cols>
    <col min="1" max="1" width="34.5" bestFit="1" customWidth="1"/>
    <col min="2" max="2" width="19.5" customWidth="1"/>
  </cols>
  <sheetData>
    <row r="1" spans="1:2" ht="20.25" x14ac:dyDescent="0.25">
      <c r="A1" s="28" t="s">
        <v>30</v>
      </c>
      <c r="B1" s="29" t="s">
        <v>31</v>
      </c>
    </row>
    <row r="2" spans="1:2" ht="20.25" x14ac:dyDescent="0.25">
      <c r="A2" s="41" t="s">
        <v>35</v>
      </c>
      <c r="B2" s="42" t="s">
        <v>32</v>
      </c>
    </row>
    <row r="3" spans="1:2" ht="20.25" x14ac:dyDescent="0.25">
      <c r="A3" s="41" t="s">
        <v>557</v>
      </c>
      <c r="B3" s="42" t="s">
        <v>32</v>
      </c>
    </row>
    <row r="4" spans="1:2" ht="20.25" x14ac:dyDescent="0.25">
      <c r="A4" s="41" t="s">
        <v>537</v>
      </c>
      <c r="B4" s="42" t="s">
        <v>32</v>
      </c>
    </row>
    <row r="5" spans="1:2" ht="20.25" x14ac:dyDescent="0.25">
      <c r="A5" s="41" t="s">
        <v>538</v>
      </c>
      <c r="B5" s="42" t="s">
        <v>32</v>
      </c>
    </row>
    <row r="6" spans="1:2" ht="20.25" x14ac:dyDescent="0.25">
      <c r="A6" s="41" t="s">
        <v>566</v>
      </c>
      <c r="B6" s="42" t="s">
        <v>32</v>
      </c>
    </row>
    <row r="7" spans="1:2" ht="20.25" x14ac:dyDescent="0.25">
      <c r="A7" s="41" t="s">
        <v>567</v>
      </c>
      <c r="B7" s="42" t="s">
        <v>32</v>
      </c>
    </row>
    <row r="8" spans="1:2" ht="20.25" x14ac:dyDescent="0.25">
      <c r="A8" s="41" t="s">
        <v>539</v>
      </c>
      <c r="B8" s="42" t="s">
        <v>32</v>
      </c>
    </row>
    <row r="9" spans="1:2" ht="20.25" x14ac:dyDescent="0.25">
      <c r="A9" s="41" t="s">
        <v>540</v>
      </c>
      <c r="B9" s="42" t="s">
        <v>32</v>
      </c>
    </row>
    <row r="10" spans="1:2" ht="20.25" x14ac:dyDescent="0.25">
      <c r="A10" s="41" t="s">
        <v>541</v>
      </c>
      <c r="B10" s="42" t="s">
        <v>32</v>
      </c>
    </row>
    <row r="11" spans="1:2" ht="20.25" x14ac:dyDescent="0.25">
      <c r="A11" s="41" t="s">
        <v>551</v>
      </c>
      <c r="B11" s="42" t="s">
        <v>32</v>
      </c>
    </row>
    <row r="12" spans="1:2" ht="20.25" x14ac:dyDescent="0.25">
      <c r="A12" s="41" t="s">
        <v>542</v>
      </c>
      <c r="B12" s="42" t="s">
        <v>32</v>
      </c>
    </row>
    <row r="13" spans="1:2" ht="20.25" x14ac:dyDescent="0.25">
      <c r="A13" s="41" t="s">
        <v>543</v>
      </c>
      <c r="B13" s="42" t="s">
        <v>32</v>
      </c>
    </row>
    <row r="14" spans="1:2" ht="20.25" x14ac:dyDescent="0.25">
      <c r="A14" s="41" t="s">
        <v>544</v>
      </c>
      <c r="B14" s="42" t="s">
        <v>32</v>
      </c>
    </row>
    <row r="15" spans="1:2" ht="20.25" x14ac:dyDescent="0.25">
      <c r="A15" s="41" t="s">
        <v>545</v>
      </c>
      <c r="B15" s="42" t="s">
        <v>32</v>
      </c>
    </row>
    <row r="16" spans="1:2" ht="20.25" x14ac:dyDescent="0.25">
      <c r="A16" s="41" t="s">
        <v>546</v>
      </c>
      <c r="B16" s="42" t="s">
        <v>32</v>
      </c>
    </row>
    <row r="17" spans="1:2" ht="20.25" x14ac:dyDescent="0.25">
      <c r="A17" s="41" t="s">
        <v>547</v>
      </c>
      <c r="B17" s="42" t="s">
        <v>32</v>
      </c>
    </row>
    <row r="18" spans="1:2" ht="20.25" x14ac:dyDescent="0.25">
      <c r="A18" s="41" t="s">
        <v>548</v>
      </c>
      <c r="B18" s="42" t="s">
        <v>32</v>
      </c>
    </row>
    <row r="19" spans="1:2" ht="20.25" x14ac:dyDescent="0.25">
      <c r="A19" s="41" t="s">
        <v>549</v>
      </c>
      <c r="B19" s="42" t="s">
        <v>32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Main</vt:lpstr>
      <vt:lpstr>480_60P</vt:lpstr>
      <vt:lpstr>576_50P</vt:lpstr>
      <vt:lpstr>720_50P</vt:lpstr>
      <vt:lpstr>720_60P</vt:lpstr>
      <vt:lpstr>1080_24P</vt:lpstr>
      <vt:lpstr>1080_25P</vt:lpstr>
      <vt:lpstr>1080_30P</vt:lpstr>
      <vt:lpstr>1080_50P</vt:lpstr>
      <vt:lpstr>1080_60P</vt:lpstr>
      <vt:lpstr>2560x1440_30P</vt:lpstr>
      <vt:lpstr>3840x2160_30P</vt:lpstr>
      <vt:lpstr>1024x768_60P</vt:lpstr>
      <vt:lpstr>1280x1024_60P</vt:lpstr>
      <vt:lpstr>1366x768_60P</vt:lpstr>
      <vt:lpstr>1440x900_60P</vt:lpstr>
      <vt:lpstr>1280x800_60P</vt:lpstr>
      <vt:lpstr>1680x1050_60P</vt:lpstr>
      <vt:lpstr>1600x1200_60P</vt:lpstr>
      <vt:lpstr>EndOfSheet</vt:lpstr>
      <vt:lpstr>IP_Type</vt:lpstr>
      <vt:lpstr>TimingSupport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Icebox Sung(宋秉修)</dc:creator>
  <cp:lastModifiedBy>Ryan Hsiao (蕭昊永)</cp:lastModifiedBy>
  <dcterms:created xsi:type="dcterms:W3CDTF">2014-05-30T01:21:02Z</dcterms:created>
  <dcterms:modified xsi:type="dcterms:W3CDTF">2020-09-15T04:34:33Z</dcterms:modified>
</cp:coreProperties>
</file>